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Sıcaklar" sheetId="2" state="visible" r:id="rId4"/>
    <sheet name="Soğuklar" sheetId="3" state="visible" r:id="rId5"/>
    <sheet name="Tatlı &amp; Atıştırmalık" sheetId="4" state="visible" r:id="rId6"/>
    <sheet name="Tüm Ürünler (POS)" sheetId="5" state="visible" r:id="rId7"/>
  </sheets>
  <definedNames>
    <definedName function="false" hidden="false" localSheetId="1" name="_xlnm.Print_Titles" vbProcedure="false">Sıcaklar!$5:$5</definedName>
    <definedName function="false" hidden="false" localSheetId="2" name="_xlnm.Print_Titles" vbProcedure="false">Soğuklar!$5:$5</definedName>
    <definedName function="false" hidden="false" localSheetId="3" name="_xlnm.Print_Titles" vbProcedure="false">'Tatlı &amp; Atıştırmalık'!$5:$5</definedName>
    <definedName function="false" hidden="true" localSheetId="4" name="_xlnm._FilterDatabase" vbProcedure="false">'Tüm Ürünler (POS)'!$B$5:$M$105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<sst xmlns="http://schemas.openxmlformats.org/spreadsheetml/2006/main" count="779" uniqueCount="287">
  <si>
    <t xml:space="preserve">MENÜ FİYAT LİSTESİ</t>
  </si>
  <si>
    <t xml:space="preserve">Ciao Caffè · Fiyatlar ekran sayfalarına girilir; bu sayfa ve POS listesi formüllerle otomatik güncellenir.</t>
  </si>
  <si>
    <t xml:space="preserve">Ekran</t>
  </si>
  <si>
    <t xml:space="preserve">Ürün sayısı</t>
  </si>
  <si>
    <t xml:space="preserve">Ciao Selection</t>
  </si>
  <si>
    <t xml:space="preserve">En düşük fiyat</t>
  </si>
  <si>
    <t xml:space="preserve">En yüksek fiyat</t>
  </si>
  <si>
    <t xml:space="preserve">Fiyatı eksik</t>
  </si>
  <si>
    <t xml:space="preserve">Sıcaklar</t>
  </si>
  <si>
    <t xml:space="preserve">Soğuklar</t>
  </si>
  <si>
    <t xml:space="preserve">Tatlı &amp; Atıştırmalık</t>
  </si>
  <si>
    <t xml:space="preserve">Toplam</t>
  </si>
  <si>
    <t xml:space="preserve">Boy isimleri</t>
  </si>
  <si>
    <t xml:space="preserve">UNICO</t>
  </si>
  <si>
    <t xml:space="preserve">Tek ölçü (yalnızca sıcaklarda)</t>
  </si>
  <si>
    <t xml:space="preserve">PICCOLO</t>
  </si>
  <si>
    <t xml:space="preserve">12 oz · 350 ml</t>
  </si>
  <si>
    <t xml:space="preserve">GRANDE</t>
  </si>
  <si>
    <t xml:space="preserve">16 oz · 470 ml</t>
  </si>
  <si>
    <t xml:space="preserve">Renk kodu</t>
  </si>
  <si>
    <t xml:space="preserve">Mavi rakam</t>
  </si>
  <si>
    <t xml:space="preserve">Elle girilen fiyat (ekran sayfalarında)</t>
  </si>
  <si>
    <t xml:space="preserve">Yeşil rakam</t>
  </si>
  <si>
    <t xml:space="preserve">Başka sayfadan gelen formül (POS listesi)</t>
  </si>
  <si>
    <t xml:space="preserve">Sarı hücre</t>
  </si>
  <si>
    <t xml:space="preserve">Girilmesi gereken fiyat</t>
  </si>
  <si>
    <t xml:space="preserve">SICAKLAR</t>
  </si>
  <si>
    <t xml:space="preserve">UNICO = tek ölçü  ·  PICCOLO = 12 oz / 350 ml  ·  GRANDE = 16 oz / 470 ml  ·  Fiyatlar TL, KDV dahil</t>
  </si>
  <si>
    <t xml:space="preserve">ÜRÜN</t>
  </si>
  <si>
    <t xml:space="preserve">İÇERİK</t>
  </si>
  <si>
    <t xml:space="preserve">★</t>
  </si>
  <si>
    <t xml:space="preserve">NOT</t>
  </si>
  <si>
    <t xml:space="preserve">ESPRESSO BAR</t>
  </si>
  <si>
    <t xml:space="preserve">Espresso</t>
  </si>
  <si>
    <t xml:space="preserve">Tek shot</t>
  </si>
  <si>
    <t xml:space="preserve">Double Espresso</t>
  </si>
  <si>
    <t xml:space="preserve">Çift shot</t>
  </si>
  <si>
    <t xml:space="preserve">Ristretto</t>
  </si>
  <si>
    <t xml:space="preserve">Kısa çekim espresso</t>
  </si>
  <si>
    <t xml:space="preserve">Lungo</t>
  </si>
  <si>
    <t xml:space="preserve">Uzun çekim espresso</t>
  </si>
  <si>
    <t xml:space="preserve">Espresso Macchiato</t>
  </si>
  <si>
    <t xml:space="preserve">Espresso · Süt köpüğü</t>
  </si>
  <si>
    <t xml:space="preserve">Espresso Con Panna</t>
  </si>
  <si>
    <t xml:space="preserve">Espresso · Çırpılmış krema</t>
  </si>
  <si>
    <t xml:space="preserve">Cortado</t>
  </si>
  <si>
    <t xml:space="preserve">Espresso · Süt</t>
  </si>
  <si>
    <t xml:space="preserve">KLASİKLER</t>
  </si>
  <si>
    <t xml:space="preserve">Americano</t>
  </si>
  <si>
    <t xml:space="preserve">Espresso · Sıcak su</t>
  </si>
  <si>
    <t xml:space="preserve">Long Black</t>
  </si>
  <si>
    <t xml:space="preserve">Sıcak su · Espresso</t>
  </si>
  <si>
    <t xml:space="preserve">Caffè Latte</t>
  </si>
  <si>
    <t xml:space="preserve">Cappuccino</t>
  </si>
  <si>
    <t xml:space="preserve">Espresso · Bol süt köpüğü</t>
  </si>
  <si>
    <t xml:space="preserve">Flat White</t>
  </si>
  <si>
    <t xml:space="preserve">Yoğun espresso · Süt</t>
  </si>
  <si>
    <t xml:space="preserve">Latte Macchiato</t>
  </si>
  <si>
    <t xml:space="preserve">Süt · Espresso</t>
  </si>
  <si>
    <t xml:space="preserve">Filtre Kahve</t>
  </si>
  <si>
    <t xml:space="preserve">Taze demlenmiş filtre</t>
  </si>
  <si>
    <t xml:space="preserve">AROMALI KAHVELER</t>
  </si>
  <si>
    <t xml:space="preserve">Mocha</t>
  </si>
  <si>
    <t xml:space="preserve">Espresso · Çikolata · Süt</t>
  </si>
  <si>
    <t xml:space="preserve">White Mocha</t>
  </si>
  <si>
    <t xml:space="preserve">Espresso · Beyaz çikolata · Süt</t>
  </si>
  <si>
    <t xml:space="preserve">Caramel Macchiato</t>
  </si>
  <si>
    <t xml:space="preserve">Vanilya · Espresso · Karamel</t>
  </si>
  <si>
    <t xml:space="preserve">Toffee Nut Latte</t>
  </si>
  <si>
    <t xml:space="preserve">Espresso · Karamel · Fındık</t>
  </si>
  <si>
    <t xml:space="preserve">Spanish Latte</t>
  </si>
  <si>
    <t xml:space="preserve">Espresso · Yoğunlaştırılmış süt</t>
  </si>
  <si>
    <t xml:space="preserve">Lotus Latte</t>
  </si>
  <si>
    <t xml:space="preserve">Espresso · Vanilya · Biscoff</t>
  </si>
  <si>
    <t xml:space="preserve">Fıstıklı Latte</t>
  </si>
  <si>
    <t xml:space="preserve">Espresso · Fıstık kreması · Süt</t>
  </si>
  <si>
    <t xml:space="preserve">KAHVESİZ SICAKLAR</t>
  </si>
  <si>
    <t xml:space="preserve">Sıcak Çikolata</t>
  </si>
  <si>
    <t xml:space="preserve">Çikolata · Süt</t>
  </si>
  <si>
    <t xml:space="preserve">Beyaz Sıcak Çikolata</t>
  </si>
  <si>
    <t xml:space="preserve">Beyaz çikolata · Süt</t>
  </si>
  <si>
    <t xml:space="preserve">Chai Latte</t>
  </si>
  <si>
    <t xml:space="preserve">Chai baharatı · Süt</t>
  </si>
  <si>
    <t xml:space="preserve">Salep</t>
  </si>
  <si>
    <t xml:space="preserve">Salep · Süt · Tarçın</t>
  </si>
  <si>
    <t xml:space="preserve">Matcha Latte</t>
  </si>
  <si>
    <t xml:space="preserve">Matcha · Süt</t>
  </si>
  <si>
    <t xml:space="preserve">TÜRK KAHVESİ</t>
  </si>
  <si>
    <t xml:space="preserve">Türk Kahvesi</t>
  </si>
  <si>
    <t xml:space="preserve">Geleneksel, köpüklü</t>
  </si>
  <si>
    <t xml:space="preserve">Double Türk Kahvesi</t>
  </si>
  <si>
    <t xml:space="preserve">Çift porsiyon</t>
  </si>
  <si>
    <t xml:space="preserve">Damla Sakızlı Türk Kahvesi</t>
  </si>
  <si>
    <t xml:space="preserve">Damla sakızı</t>
  </si>
  <si>
    <t xml:space="preserve">Double Damla Sakızlı Türk Kahvesi</t>
  </si>
  <si>
    <t xml:space="preserve">Çift porsiyon · Damla sakızı</t>
  </si>
  <si>
    <t xml:space="preserve">ÇAY &amp; BİTKİ ÇAYLARI</t>
  </si>
  <si>
    <t xml:space="preserve">Türk Çayı (Bardak)</t>
  </si>
  <si>
    <t xml:space="preserve">Türk Çayı (Fincan)</t>
  </si>
  <si>
    <t xml:space="preserve">Türk Çayı (Karton)</t>
  </si>
  <si>
    <t xml:space="preserve">Karton bardak</t>
  </si>
  <si>
    <t xml:space="preserve">Ekranda gösterilmez (POS)</t>
  </si>
  <si>
    <t xml:space="preserve">Yeşil Çay</t>
  </si>
  <si>
    <t xml:space="preserve">Hafif yeşil çay</t>
  </si>
  <si>
    <t xml:space="preserve">Papatya</t>
  </si>
  <si>
    <t xml:space="preserve">Kuru papatya</t>
  </si>
  <si>
    <t xml:space="preserve">Ihlamur</t>
  </si>
  <si>
    <t xml:space="preserve">Ihlamur çiçeği</t>
  </si>
  <si>
    <t xml:space="preserve">Nane Limon</t>
  </si>
  <si>
    <t xml:space="preserve">Nane · Limon</t>
  </si>
  <si>
    <t xml:space="preserve">Kış Çayı</t>
  </si>
  <si>
    <t xml:space="preserve">Bitki · Baharat karışımı</t>
  </si>
  <si>
    <t xml:space="preserve">Hibiskus</t>
  </si>
  <si>
    <t xml:space="preserve">Ekşimsi çiçek çayı</t>
  </si>
  <si>
    <t xml:space="preserve">CIAO SIGNATURE</t>
  </si>
  <si>
    <t xml:space="preserve">Tarantino</t>
  </si>
  <si>
    <t xml:space="preserve">Taro · Espresso · Süt</t>
  </si>
  <si>
    <t xml:space="preserve">Signature</t>
  </si>
  <si>
    <t xml:space="preserve">Pistachio White Hot</t>
  </si>
  <si>
    <t xml:space="preserve">Beyaz çikolata · Fıstık kreması · Süt · Krem şanti · Antep fıstığı</t>
  </si>
  <si>
    <t xml:space="preserve">Ruby</t>
  </si>
  <si>
    <t xml:space="preserve">Çilek püresi · Espresso · Vanilya · Süt</t>
  </si>
  <si>
    <t xml:space="preserve">Cincirella</t>
  </si>
  <si>
    <t xml:space="preserve">Espresso · Balkabağı (pumpkin) · Süt</t>
  </si>
  <si>
    <t xml:space="preserve">Salted Karamel Chocolate</t>
  </si>
  <si>
    <t xml:space="preserve">Bitter çikolata · Tuzlu karamel · Kakao · Süt</t>
  </si>
  <si>
    <t xml:space="preserve">KENDİNE GÖRE YAP · EKSTRALAR</t>
  </si>
  <si>
    <t xml:space="preserve">Ekstra Shot</t>
  </si>
  <si>
    <t xml:space="preserve">Şurup (Vanilya · Karamel · Fındık)</t>
  </si>
  <si>
    <t xml:space="preserve">Sos (Çikolata · Beyaz Çikolata · Karamel)</t>
  </si>
  <si>
    <t xml:space="preserve">Bitkisel Süt (Yulaf · Badem · Coconut)</t>
  </si>
  <si>
    <t xml:space="preserve">Krem Şanti</t>
  </si>
  <si>
    <t xml:space="preserve">★ Ciao Selection = baristanın seçtiği ürünler  ·  Mavi rakamlar düzenlenebilir fiyatlardır, sarı hücreler girilmesi gereken fiyatlardır.</t>
  </si>
  <si>
    <t xml:space="preserve">SOĞUKLAR</t>
  </si>
  <si>
    <t xml:space="preserve">PICCOLO = 12 oz / 350 ml  ·  GRANDE = 16 oz / 470 ml  ·  Fiyatlar TL, KDV dahil</t>
  </si>
  <si>
    <t xml:space="preserve">BUZLU KAHVELER</t>
  </si>
  <si>
    <t xml:space="preserve">Iced Americano</t>
  </si>
  <si>
    <t xml:space="preserve">Espresso · Soğuk su · Buz</t>
  </si>
  <si>
    <t xml:space="preserve">Iced Latte</t>
  </si>
  <si>
    <t xml:space="preserve">Espresso · Süt · Buz</t>
  </si>
  <si>
    <t xml:space="preserve">Iced Cappuccino</t>
  </si>
  <si>
    <t xml:space="preserve">Espresso · Süt · Soğuk köpük</t>
  </si>
  <si>
    <t xml:space="preserve">Iced Flat White</t>
  </si>
  <si>
    <t xml:space="preserve">Yoğun espresso · Süt · Buz</t>
  </si>
  <si>
    <t xml:space="preserve">Iced Espresso Tonic</t>
  </si>
  <si>
    <t xml:space="preserve">Espresso · Tonik · Buz</t>
  </si>
  <si>
    <t xml:space="preserve">Iced Coffee Frappé</t>
  </si>
  <si>
    <t xml:space="preserve">Granül kahve · Buz · Süt</t>
  </si>
  <si>
    <t xml:space="preserve">Iced Cappuccino Affogato</t>
  </si>
  <si>
    <t xml:space="preserve">Espresso · Süt · Dondurma</t>
  </si>
  <si>
    <t xml:space="preserve">COLD BREW &amp; SOĞUK FİLTRE</t>
  </si>
  <si>
    <t xml:space="preserve">Iced Filter Coffee</t>
  </si>
  <si>
    <t xml:space="preserve">Soğutulmuş filtre · Buz</t>
  </si>
  <si>
    <t xml:space="preserve">Iced Filter Coffee Milky</t>
  </si>
  <si>
    <t xml:space="preserve">Soğutulmuş filtre · Süt · Buz</t>
  </si>
  <si>
    <t xml:space="preserve">ICED TEA</t>
  </si>
  <si>
    <t xml:space="preserve">Iced Tea</t>
  </si>
  <si>
    <t xml:space="preserve">Mango · Nar · Limon · Yaban mersini</t>
  </si>
  <si>
    <t xml:space="preserve">AROMALI BUZLULAR</t>
  </si>
  <si>
    <t xml:space="preserve">Iced Mocha</t>
  </si>
  <si>
    <t xml:space="preserve">Iced White Mocha</t>
  </si>
  <si>
    <t xml:space="preserve">Espresso · Beyaz çikolata</t>
  </si>
  <si>
    <t xml:space="preserve">Iced Caramel Macchiato</t>
  </si>
  <si>
    <t xml:space="preserve">Vanilya · Karamel</t>
  </si>
  <si>
    <t xml:space="preserve">Iced Dirty Chai Latte</t>
  </si>
  <si>
    <t xml:space="preserve">Chai latte · Espresso</t>
  </si>
  <si>
    <t xml:space="preserve">Iced Spanish Latte</t>
  </si>
  <si>
    <t xml:space="preserve">Espresso · Kondanse süt</t>
  </si>
  <si>
    <t xml:space="preserve">Iced Pistachio Latte</t>
  </si>
  <si>
    <t xml:space="preserve">Espresso · Fıstık · Süt</t>
  </si>
  <si>
    <t xml:space="preserve">SHAKE &amp; SMOOTHIE</t>
  </si>
  <si>
    <t xml:space="preserve">Milkshake</t>
  </si>
  <si>
    <t xml:space="preserve">Çikolata · Vanilya · Çilek · Antep fıstıklı</t>
  </si>
  <si>
    <t xml:space="preserve">Frozen</t>
  </si>
  <si>
    <t xml:space="preserve">Meyve püresi · Soda · Buz</t>
  </si>
  <si>
    <t xml:space="preserve">Smoothie</t>
  </si>
  <si>
    <t xml:space="preserve">Süzme yoğurt · Meyve</t>
  </si>
  <si>
    <t xml:space="preserve">Pistachio Banana Protein</t>
  </si>
  <si>
    <t xml:space="preserve">Fıstık · Muz · Yulaf</t>
  </si>
  <si>
    <t xml:space="preserve">Orman Meyveli Protein</t>
  </si>
  <si>
    <t xml:space="preserve">Badem sütü · Yoğurt · Yulaf</t>
  </si>
  <si>
    <t xml:space="preserve">KAHVESİZ BUZLULAR</t>
  </si>
  <si>
    <t xml:space="preserve">Iced Chocolatte</t>
  </si>
  <si>
    <t xml:space="preserve">Çikolata · Süt · Buz</t>
  </si>
  <si>
    <t xml:space="preserve">Iced White Chocolatte</t>
  </si>
  <si>
    <t xml:space="preserve">Iced Chai Latte</t>
  </si>
  <si>
    <t xml:space="preserve">Chai · Süt · Buz</t>
  </si>
  <si>
    <t xml:space="preserve">Iced Matcha</t>
  </si>
  <si>
    <t xml:space="preserve">Matcha · Süt · Buz</t>
  </si>
  <si>
    <t xml:space="preserve">BOBA &amp; FIZZ</t>
  </si>
  <si>
    <t xml:space="preserve">Taro Milk Boba Tea</t>
  </si>
  <si>
    <t xml:space="preserve">Taro · Süt · Boba</t>
  </si>
  <si>
    <t xml:space="preserve">Matcha Milk Boba Tea</t>
  </si>
  <si>
    <t xml:space="preserve">Matcha · Süt · Boba</t>
  </si>
  <si>
    <t xml:space="preserve">Ocean Blue Fizz</t>
  </si>
  <si>
    <t xml:space="preserve">Blue curaçao · Soda · Boba</t>
  </si>
  <si>
    <t xml:space="preserve">Berry Burst</t>
  </si>
  <si>
    <t xml:space="preserve">Ahududu · Soda · Çilek boba</t>
  </si>
  <si>
    <t xml:space="preserve">Green Apple Fizz</t>
  </si>
  <si>
    <t xml:space="preserve">Yeşil elma · Gazoz · Boba</t>
  </si>
  <si>
    <t xml:space="preserve">Espresso · Taro · Süt · Buz</t>
  </si>
  <si>
    <t xml:space="preserve">Kori Kohi</t>
  </si>
  <si>
    <t xml:space="preserve">Cold brew buz küpleri · Süt · Vanilya</t>
  </si>
  <si>
    <t xml:space="preserve">Signature · YENİ</t>
  </si>
  <si>
    <t xml:space="preserve">Berry Hibiscus Cooler</t>
  </si>
  <si>
    <t xml:space="preserve">Hibiskus · Orman meyvesi · Limon · Soda · Nane</t>
  </si>
  <si>
    <t xml:space="preserve">Cool Lime Refresha</t>
  </si>
  <si>
    <t xml:space="preserve">Misket limonu · Lime · Nane</t>
  </si>
  <si>
    <t xml:space="preserve">FERAHLATICILAR</t>
  </si>
  <si>
    <t xml:space="preserve">Pet Şişe Su</t>
  </si>
  <si>
    <t xml:space="preserve">Cam Şişe Su</t>
  </si>
  <si>
    <t xml:space="preserve">Soda</t>
  </si>
  <si>
    <t xml:space="preserve">Premium Soda</t>
  </si>
  <si>
    <t xml:space="preserve">Limonata</t>
  </si>
  <si>
    <t xml:space="preserve">Red Bull</t>
  </si>
  <si>
    <t xml:space="preserve">Bitkisel Süt</t>
  </si>
  <si>
    <t xml:space="preserve">Dondurma Topu</t>
  </si>
  <si>
    <t xml:space="preserve">Ekstra Boba</t>
  </si>
  <si>
    <t xml:space="preserve">TATLI &amp; ATIŞTIRMALIK</t>
  </si>
  <si>
    <t xml:space="preserve">Menü adı ekranda büyük, asıl ürün adı altında küçük yazar  ·  Fiyatlar TL, KDV dahil</t>
  </si>
  <si>
    <t xml:space="preserve">MENÜ ADI</t>
  </si>
  <si>
    <t xml:space="preserve">ASIL ÜRÜN</t>
  </si>
  <si>
    <t xml:space="preserve">FİYAT</t>
  </si>
  <si>
    <t xml:space="preserve">PASTA &amp; KEK</t>
  </si>
  <si>
    <t xml:space="preserve">Monet'nin Bahçesi</t>
  </si>
  <si>
    <t xml:space="preserve">Havuçlu Kek</t>
  </si>
  <si>
    <t xml:space="preserve">Havuç · Tarçın · Ceviz · Krem peynirli krema</t>
  </si>
  <si>
    <t xml:space="preserve">Moulin Rouge</t>
  </si>
  <si>
    <t xml:space="preserve">Cheesecake</t>
  </si>
  <si>
    <t xml:space="preserve">Bisküvi taban · Kırmızı meyve sosu</t>
  </si>
  <si>
    <t xml:space="preserve">Frida</t>
  </si>
  <si>
    <t xml:space="preserve">Berry Hibiscus</t>
  </si>
  <si>
    <t xml:space="preserve">Orman meyveleri · Hibiskus · Krema</t>
  </si>
  <si>
    <t xml:space="preserve">Mavi Dönem</t>
  </si>
  <si>
    <t xml:space="preserve">Yaban Mersinli Pasta</t>
  </si>
  <si>
    <t xml:space="preserve">Pandispanya · Krema · Yaban mersini</t>
  </si>
  <si>
    <t xml:space="preserve">Altın Lotus</t>
  </si>
  <si>
    <t xml:space="preserve">Lotus Biscoff Kek</t>
  </si>
  <si>
    <t xml:space="preserve">Karamelize krema · Lotus bisküvi</t>
  </si>
  <si>
    <t xml:space="preserve">Çikolata Fabrikası</t>
  </si>
  <si>
    <t xml:space="preserve">Nutella Cookie Kek</t>
  </si>
  <si>
    <t xml:space="preserve">Cookie hamuru · Nutella</t>
  </si>
  <si>
    <t xml:space="preserve">Copacabana</t>
  </si>
  <si>
    <t xml:space="preserve">Cocostar Pasta</t>
  </si>
  <si>
    <t xml:space="preserve">Kakaolu kek · Hindistan cevizli krema</t>
  </si>
  <si>
    <t xml:space="preserve">Gaudí</t>
  </si>
  <si>
    <t xml:space="preserve">Mozaik Kek</t>
  </si>
  <si>
    <t xml:space="preserve">Bisküvi · Kakao · Çikolata</t>
  </si>
  <si>
    <t xml:space="preserve">TATLILAR</t>
  </si>
  <si>
    <t xml:space="preserve">Noir</t>
  </si>
  <si>
    <t xml:space="preserve">Brownie</t>
  </si>
  <si>
    <t xml:space="preserve">Yoğun bitter çikolata · Islak doku</t>
  </si>
  <si>
    <t xml:space="preserve">Kuğu Gölü</t>
  </si>
  <si>
    <t xml:space="preserve">Profiterol</t>
  </si>
  <si>
    <t xml:space="preserve">Choux · Vanilyalı krema · Çikolata sos</t>
  </si>
  <si>
    <t xml:space="preserve">Chocolat</t>
  </si>
  <si>
    <t xml:space="preserve">Çikolatalı Cookie</t>
  </si>
  <si>
    <t xml:space="preserve">Bitter ve sütlü çikolata parçaları</t>
  </si>
  <si>
    <t xml:space="preserve">Roma Tatili</t>
  </si>
  <si>
    <t xml:space="preserve">Dondurma</t>
  </si>
  <si>
    <t xml:space="preserve">Cup · 4 top</t>
  </si>
  <si>
    <t xml:space="preserve">SANDVİÇLER</t>
  </si>
  <si>
    <t xml:space="preserve">Vegan Sandviç</t>
  </si>
  <si>
    <t xml:space="preserve">Hayvansal ürün içermez · Taze sebzeler</t>
  </si>
  <si>
    <t xml:space="preserve">Karışık Sandviç</t>
  </si>
  <si>
    <t xml:space="preserve">Dana jambon · Kaşar · Süzme peynir · Domates · Yeşillik</t>
  </si>
  <si>
    <t xml:space="preserve">PİZZA</t>
  </si>
  <si>
    <t xml:space="preserve">Pulp Fetta</t>
  </si>
  <si>
    <t xml:space="preserve">Dilim Pizza</t>
  </si>
  <si>
    <t xml:space="preserve">Tek dilim · Günün çeşidi</t>
  </si>
  <si>
    <t xml:space="preserve">Yakında · Fiyat girilecek</t>
  </si>
  <si>
    <t xml:space="preserve">Il Padrino</t>
  </si>
  <si>
    <t xml:space="preserve">Tam Pizza</t>
  </si>
  <si>
    <t xml:space="preserve">Bütün pizza · Paylaşmalık</t>
  </si>
  <si>
    <t xml:space="preserve">TÜM ÜRÜNLER · POS</t>
  </si>
  <si>
    <t xml:space="preserve">Kasa (Simpra) için düz liste · fiyatlar ekran sayfalarından formülle gelir (yeşil)</t>
  </si>
  <si>
    <t xml:space="preserve">Kategori</t>
  </si>
  <si>
    <t xml:space="preserve">Menü Adı</t>
  </si>
  <si>
    <t xml:space="preserve">Asıl Ürün Adı</t>
  </si>
  <si>
    <t xml:space="preserve">İçerik</t>
  </si>
  <si>
    <t xml:space="preserve">UNICO / Tek Fiyat</t>
  </si>
  <si>
    <t xml:space="preserve">PICCOLO 12 oz</t>
  </si>
  <si>
    <t xml:space="preserve">GRANDE 16 oz</t>
  </si>
  <si>
    <t xml:space="preserve">Not</t>
  </si>
  <si>
    <t xml:space="preserve">Başlangıç Fiyatı</t>
  </si>
  <si>
    <t xml:space="preserve">Evet</t>
  </si>
  <si>
    <t xml:space="preserve">YENİ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</si>
</sst>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&quot; TL&quot;;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8F1"/>
      <name val="Arial"/>
      <family val="0"/>
      <charset val="1"/>
    </font>
    <font>
      <i val="true"/>
      <sz val="10"/>
      <color rgb="FFFFF8F1"/>
      <name val="Arial"/>
      <family val="0"/>
      <charset val="1"/>
    </font>
    <font>
      <b val="true"/>
      <sz val="10"/>
      <color rgb="FFFFF8F1"/>
      <name val="Arial"/>
      <family val="0"/>
      <charset val="1"/>
    </font>
    <font>
      <b val="true"/>
      <sz val="11"/>
      <color rgb="FFFFF8F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color rgb="FFFFF8F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6B5E55"/>
      <name val="Arial"/>
      <family val="0"/>
      <charset val="1"/>
    </font>
    <font>
      <b val="true"/>
      <sz val="13"/>
      <color rgb="FFF54021"/>
      <name val="Arial"/>
      <family val="0"/>
      <charset val="1"/>
    </font>
    <font>
      <i val="true"/>
      <sz val="9"/>
      <color rgb="FF6B5E55"/>
      <name val="Arial"/>
      <family val="0"/>
      <charset val="1"/>
    </font>
    <font>
      <b val="true"/>
      <sz val="13"/>
      <color rgb="FF1670B5"/>
      <name val="Arial"/>
      <family val="0"/>
      <charset val="1"/>
    </font>
    <font>
      <b val="true"/>
      <sz val="10"/>
      <color rgb="FF7A3E26"/>
      <name val="Arial"/>
      <family val="0"/>
      <charset val="1"/>
    </font>
    <font>
      <b val="true"/>
      <sz val="13"/>
      <color rgb="FF7A3E2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210"/>
        <bgColor rgb="FF000000"/>
      </patternFill>
    </fill>
    <fill>
      <patternFill patternType="solid">
        <fgColor rgb="FFF54021"/>
        <bgColor rgb="FFFF0000"/>
      </patternFill>
    </fill>
    <fill>
      <patternFill patternType="solid">
        <fgColor rgb="FF1670B5"/>
        <bgColor rgb="FF008080"/>
      </patternFill>
    </fill>
    <fill>
      <patternFill patternType="solid">
        <fgColor rgb="FF7A3E26"/>
        <bgColor rgb="FF99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4DC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121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8F1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8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670B5"/>
      <rgbColor rgb="FFE4DC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54021"/>
      <rgbColor rgb="FF6B5E55"/>
      <rgbColor rgb="FF969696"/>
      <rgbColor rgb="FF003366"/>
      <rgbColor rgb="FF339966"/>
      <rgbColor rgb="FF003300"/>
      <rgbColor rgb="FF1A1210"/>
      <rgbColor rgb="FF7A3E2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837720</xdr:colOff>
      <xdr:row>1</xdr:row>
      <xdr:rowOff>152280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76400" y="0"/>
          <a:ext cx="83772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837720</xdr:colOff>
      <xdr:row>1</xdr:row>
      <xdr:rowOff>152280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76400" y="0"/>
          <a:ext cx="83772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837720</xdr:colOff>
      <xdr:row>1</xdr:row>
      <xdr:rowOff>152280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76400" y="0"/>
          <a:ext cx="83772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837720</xdr:colOff>
      <xdr:row>1</xdr:row>
      <xdr:rowOff>152280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76400" y="0"/>
          <a:ext cx="83772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837720</xdr:colOff>
      <xdr:row>1</xdr:row>
      <xdr:rowOff>152280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76400" y="0"/>
          <a:ext cx="83772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210"/>
    <pageSetUpPr fitToPage="true"/>
  </sheetPr>
  <dimension ref="B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6" min="4" style="0" width="16"/>
    <col collapsed="false" customWidth="true" hidden="false" outlineLevel="0" max="7" min="7" style="0" width="14"/>
  </cols>
  <sheetData>
    <row r="1" customFormat="false" ht="30" hidden="false" customHeight="true" outlineLevel="0" collapsed="false">
      <c r="B1" s="1"/>
      <c r="C1" s="2" t="s">
        <v>0</v>
      </c>
      <c r="D1" s="2"/>
      <c r="E1" s="2"/>
      <c r="F1" s="2"/>
      <c r="G1" s="2"/>
    </row>
    <row r="2" customFormat="false" ht="30" hidden="false" customHeight="true" outlineLevel="0" collapsed="false">
      <c r="B2" s="1"/>
      <c r="C2" s="2"/>
      <c r="D2" s="2"/>
      <c r="E2" s="2"/>
      <c r="F2" s="2"/>
      <c r="G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</row>
    <row r="5" customFormat="false" ht="25.5" hidden="false" customHeight="true" outlineLevel="0" collapsed="false"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</row>
    <row r="6" customFormat="false" ht="15" hidden="false" customHeight="false" outlineLevel="0" collapsed="false">
      <c r="B6" s="6" t="s">
        <v>8</v>
      </c>
      <c r="C6" s="7" t="n">
        <f aca="false">COUNTIF('Tüm Ürünler (POS)'!$B$6:$B$105,B6)</f>
        <v>44</v>
      </c>
      <c r="D6" s="7" t="n">
        <f aca="false">COUNTIFS('Tüm Ürünler (POS)'!$B$6:$B$105,B6,'Tüm Ürünler (POS)'!$J$6:$J$105,"Evet")</f>
        <v>9</v>
      </c>
      <c r="E6" s="8" t="n">
        <f aca="false">_xlfn.MINIFS('Tüm Ürünler (POS)'!$M$6:$M$105,'Tüm Ürünler (POS)'!$B$6:$B$105,B6)</f>
        <v>70</v>
      </c>
      <c r="F6" s="8" t="n">
        <f aca="false">MAX(_xlfn.MAXIFS('Tüm Ürünler (POS)'!$G$6:$G$105,'Tüm Ürünler (POS)'!$B$6:$B$105,B6),_xlfn.MAXIFS('Tüm Ürünler (POS)'!$H$6:$H$105,'Tüm Ürünler (POS)'!$B$6:$B$105,B6),_xlfn.MAXIFS('Tüm Ürünler (POS)'!$I$6:$I$105,'Tüm Ürünler (POS)'!$B$6:$B$105,B6))</f>
        <v>340</v>
      </c>
      <c r="G6" s="7" t="n">
        <f aca="false">COUNTIFS('Tüm Ürünler (POS)'!$B$6:$B$105,B6,'Tüm Ürünler (POS)'!$L$6:$L$105,"*Fiyat girilecek*")</f>
        <v>0</v>
      </c>
    </row>
    <row r="7" customFormat="false" ht="15" hidden="false" customHeight="false" outlineLevel="0" collapsed="false">
      <c r="B7" s="9" t="s">
        <v>9</v>
      </c>
      <c r="C7" s="7" t="n">
        <f aca="false">COUNTIF('Tüm Ürünler (POS)'!$B$6:$B$105,B7)</f>
        <v>40</v>
      </c>
      <c r="D7" s="7" t="n">
        <f aca="false">COUNTIFS('Tüm Ürünler (POS)'!$B$6:$B$105,B7,'Tüm Ürünler (POS)'!$J$6:$J$105,"Evet")</f>
        <v>8</v>
      </c>
      <c r="E7" s="8" t="n">
        <f aca="false">_xlfn.MINIFS('Tüm Ürünler (POS)'!$M$6:$M$105,'Tüm Ürünler (POS)'!$B$6:$B$105,B7)</f>
        <v>40</v>
      </c>
      <c r="F7" s="8" t="n">
        <f aca="false">MAX(_xlfn.MAXIFS('Tüm Ürünler (POS)'!$G$6:$G$105,'Tüm Ürünler (POS)'!$B$6:$B$105,B7),_xlfn.MAXIFS('Tüm Ürünler (POS)'!$H$6:$H$105,'Tüm Ürünler (POS)'!$B$6:$B$105,B7),_xlfn.MAXIFS('Tüm Ürünler (POS)'!$I$6:$I$105,'Tüm Ürünler (POS)'!$B$6:$B$105,B7))</f>
        <v>350</v>
      </c>
      <c r="G7" s="7" t="n">
        <f aca="false">COUNTIFS('Tüm Ürünler (POS)'!$B$6:$B$105,B7,'Tüm Ürünler (POS)'!$L$6:$L$105,"*Fiyat girilecek*")</f>
        <v>0</v>
      </c>
    </row>
    <row r="8" customFormat="false" ht="15" hidden="false" customHeight="false" outlineLevel="0" collapsed="false">
      <c r="B8" s="10" t="s">
        <v>10</v>
      </c>
      <c r="C8" s="7" t="n">
        <f aca="false">COUNTIF('Tüm Ürünler (POS)'!$B$6:$B$105,B8)</f>
        <v>16</v>
      </c>
      <c r="D8" s="7" t="n">
        <f aca="false">COUNTIFS('Tüm Ürünler (POS)'!$B$6:$B$105,B8,'Tüm Ürünler (POS)'!$J$6:$J$105,"Evet")</f>
        <v>3</v>
      </c>
      <c r="E8" s="8" t="n">
        <f aca="false">_xlfn.MINIFS('Tüm Ürünler (POS)'!$M$6:$M$105,'Tüm Ürünler (POS)'!$B$6:$B$105,B8)</f>
        <v>170</v>
      </c>
      <c r="F8" s="8" t="n">
        <f aca="false">MAX(_xlfn.MAXIFS('Tüm Ürünler (POS)'!$G$6:$G$105,'Tüm Ürünler (POS)'!$B$6:$B$105,B8),_xlfn.MAXIFS('Tüm Ürünler (POS)'!$H$6:$H$105,'Tüm Ürünler (POS)'!$B$6:$B$105,B8),_xlfn.MAXIFS('Tüm Ürünler (POS)'!$I$6:$I$105,'Tüm Ürünler (POS)'!$B$6:$B$105,B8))</f>
        <v>320</v>
      </c>
      <c r="G8" s="7" t="n">
        <f aca="false">COUNTIFS('Tüm Ürünler (POS)'!$B$6:$B$105,B8,'Tüm Ürünler (POS)'!$L$6:$L$105,"*Fiyat girilecek*")</f>
        <v>2</v>
      </c>
    </row>
    <row r="9" customFormat="false" ht="15" hidden="false" customHeight="false" outlineLevel="0" collapsed="false">
      <c r="B9" s="11" t="s">
        <v>11</v>
      </c>
      <c r="C9" s="12" t="n">
        <f aca="false">SUM(C6:C8)</f>
        <v>100</v>
      </c>
      <c r="D9" s="12" t="n">
        <f aca="false">SUM(D6:D8)</f>
        <v>20</v>
      </c>
      <c r="G9" s="12" t="n">
        <f aca="false">SUM(G6:G8)</f>
        <v>2</v>
      </c>
    </row>
    <row r="11" customFormat="false" ht="15" hidden="false" customHeight="false" outlineLevel="0" collapsed="false">
      <c r="B11" s="13" t="s">
        <v>12</v>
      </c>
    </row>
    <row r="12" customFormat="false" ht="15" hidden="false" customHeight="false" outlineLevel="0" collapsed="false">
      <c r="B12" s="14" t="s">
        <v>13</v>
      </c>
      <c r="C12" s="15" t="s">
        <v>14</v>
      </c>
    </row>
    <row r="13" customFormat="false" ht="15" hidden="false" customHeight="false" outlineLevel="0" collapsed="false">
      <c r="B13" s="14" t="s">
        <v>15</v>
      </c>
      <c r="C13" s="15" t="s">
        <v>16</v>
      </c>
    </row>
    <row r="14" customFormat="false" ht="15" hidden="false" customHeight="false" outlineLevel="0" collapsed="false">
      <c r="B14" s="14" t="s">
        <v>17</v>
      </c>
      <c r="C14" s="15" t="s">
        <v>18</v>
      </c>
    </row>
    <row r="16" customFormat="false" ht="15" hidden="false" customHeight="false" outlineLevel="0" collapsed="false">
      <c r="B16" s="13" t="s">
        <v>19</v>
      </c>
    </row>
    <row r="17" customFormat="false" ht="15" hidden="false" customHeight="false" outlineLevel="0" collapsed="false">
      <c r="B17" s="16" t="s">
        <v>20</v>
      </c>
      <c r="C17" s="15" t="s">
        <v>21</v>
      </c>
    </row>
    <row r="18" customFormat="false" ht="15" hidden="false" customHeight="false" outlineLevel="0" collapsed="false">
      <c r="B18" s="17" t="s">
        <v>22</v>
      </c>
      <c r="C18" s="15" t="s">
        <v>23</v>
      </c>
    </row>
    <row r="19" customFormat="false" ht="15" hidden="false" customHeight="false" outlineLevel="0" collapsed="false">
      <c r="B19" s="18" t="s">
        <v>24</v>
      </c>
      <c r="C19" s="15" t="s">
        <v>25</v>
      </c>
    </row>
  </sheetData>
  <mergeCells count="2">
    <mergeCell ref="C1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4021"/>
    <pageSetUpPr fitToPage="true"/>
  </sheetPr>
  <dimension ref="B1:H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7"/>
    <col collapsed="false" customWidth="true" hidden="false" outlineLevel="0" max="3" min="3" style="0" width="40"/>
    <col collapsed="false" customWidth="true" hidden="false" outlineLevel="0" max="6" min="4" style="0" width="11"/>
    <col collapsed="false" customWidth="true" hidden="false" outlineLevel="0" max="7" min="7" style="0" width="6"/>
    <col collapsed="false" customWidth="true" hidden="false" outlineLevel="0" max="8" min="8" style="0" width="18"/>
  </cols>
  <sheetData>
    <row r="1" customFormat="false" ht="30" hidden="false" customHeight="true" outlineLevel="0" collapsed="false">
      <c r="B1" s="19"/>
      <c r="C1" s="20" t="s">
        <v>26</v>
      </c>
      <c r="D1" s="20"/>
      <c r="E1" s="20"/>
      <c r="F1" s="20"/>
      <c r="G1" s="20"/>
      <c r="H1" s="20"/>
    </row>
    <row r="2" customFormat="false" ht="30" hidden="false" customHeight="true" outlineLevel="0" collapsed="false">
      <c r="B2" s="19"/>
      <c r="C2" s="20"/>
      <c r="D2" s="20"/>
      <c r="E2" s="20"/>
      <c r="F2" s="20"/>
      <c r="G2" s="20"/>
      <c r="H2" s="20"/>
    </row>
    <row r="3" customFormat="false" ht="21.75" hidden="false" customHeight="true" outlineLevel="0" collapsed="false">
      <c r="B3" s="21" t="s">
        <v>27</v>
      </c>
      <c r="C3" s="21"/>
      <c r="D3" s="21"/>
      <c r="E3" s="21"/>
      <c r="F3" s="21"/>
      <c r="G3" s="21"/>
      <c r="H3" s="21"/>
    </row>
    <row r="5" customFormat="false" ht="25.5" hidden="false" customHeight="true" outlineLevel="0" collapsed="false">
      <c r="B5" s="4" t="s">
        <v>28</v>
      </c>
      <c r="C5" s="5" t="s">
        <v>29</v>
      </c>
      <c r="D5" s="5" t="s">
        <v>13</v>
      </c>
      <c r="E5" s="5" t="s">
        <v>15</v>
      </c>
      <c r="F5" s="5" t="s">
        <v>17</v>
      </c>
      <c r="G5" s="5" t="s">
        <v>30</v>
      </c>
      <c r="H5" s="5" t="s">
        <v>31</v>
      </c>
    </row>
    <row r="7" customFormat="false" ht="21.75" hidden="false" customHeight="true" outlineLevel="0" collapsed="false">
      <c r="B7" s="22" t="s">
        <v>32</v>
      </c>
      <c r="C7" s="22"/>
      <c r="D7" s="22"/>
      <c r="E7" s="22"/>
      <c r="F7" s="22"/>
      <c r="G7" s="22"/>
      <c r="H7" s="22"/>
    </row>
    <row r="8" customFormat="false" ht="19.5" hidden="false" customHeight="true" outlineLevel="0" collapsed="false">
      <c r="B8" s="23" t="s">
        <v>33</v>
      </c>
      <c r="C8" s="24" t="s">
        <v>34</v>
      </c>
      <c r="D8" s="25" t="n">
        <v>110</v>
      </c>
      <c r="E8" s="25"/>
      <c r="F8" s="25"/>
      <c r="G8" s="26"/>
      <c r="H8" s="27"/>
    </row>
    <row r="9" customFormat="false" ht="19.5" hidden="false" customHeight="true" outlineLevel="0" collapsed="false">
      <c r="B9" s="23" t="s">
        <v>35</v>
      </c>
      <c r="C9" s="24" t="s">
        <v>36</v>
      </c>
      <c r="D9" s="25" t="n">
        <v>130</v>
      </c>
      <c r="E9" s="25"/>
      <c r="F9" s="25"/>
      <c r="G9" s="26"/>
      <c r="H9" s="27"/>
    </row>
    <row r="10" customFormat="false" ht="19.5" hidden="false" customHeight="true" outlineLevel="0" collapsed="false">
      <c r="B10" s="23" t="s">
        <v>37</v>
      </c>
      <c r="C10" s="24" t="s">
        <v>38</v>
      </c>
      <c r="D10" s="25" t="n">
        <v>130</v>
      </c>
      <c r="E10" s="25"/>
      <c r="F10" s="25"/>
      <c r="G10" s="26"/>
      <c r="H10" s="27"/>
    </row>
    <row r="11" customFormat="false" ht="19.5" hidden="false" customHeight="true" outlineLevel="0" collapsed="false">
      <c r="B11" s="23" t="s">
        <v>39</v>
      </c>
      <c r="C11" s="24" t="s">
        <v>40</v>
      </c>
      <c r="D11" s="25" t="n">
        <v>130</v>
      </c>
      <c r="E11" s="25"/>
      <c r="F11" s="25"/>
      <c r="G11" s="26"/>
      <c r="H11" s="27"/>
    </row>
    <row r="12" customFormat="false" ht="19.5" hidden="false" customHeight="true" outlineLevel="0" collapsed="false">
      <c r="B12" s="23" t="s">
        <v>41</v>
      </c>
      <c r="C12" s="24" t="s">
        <v>42</v>
      </c>
      <c r="D12" s="25" t="n">
        <v>130</v>
      </c>
      <c r="E12" s="25"/>
      <c r="F12" s="25"/>
      <c r="G12" s="26"/>
      <c r="H12" s="27"/>
    </row>
    <row r="13" customFormat="false" ht="19.5" hidden="false" customHeight="true" outlineLevel="0" collapsed="false">
      <c r="B13" s="23" t="s">
        <v>43</v>
      </c>
      <c r="C13" s="24" t="s">
        <v>44</v>
      </c>
      <c r="D13" s="25" t="n">
        <v>150</v>
      </c>
      <c r="E13" s="25"/>
      <c r="F13" s="25"/>
      <c r="G13" s="26"/>
      <c r="H13" s="27"/>
    </row>
    <row r="14" customFormat="false" ht="19.5" hidden="false" customHeight="true" outlineLevel="0" collapsed="false">
      <c r="B14" s="23" t="s">
        <v>45</v>
      </c>
      <c r="C14" s="24" t="s">
        <v>46</v>
      </c>
      <c r="D14" s="25" t="n">
        <v>180</v>
      </c>
      <c r="E14" s="25"/>
      <c r="F14" s="25"/>
      <c r="G14" s="26"/>
      <c r="H14" s="27"/>
    </row>
    <row r="16" customFormat="false" ht="21.75" hidden="false" customHeight="true" outlineLevel="0" collapsed="false">
      <c r="B16" s="22" t="s">
        <v>47</v>
      </c>
      <c r="C16" s="22"/>
      <c r="D16" s="22"/>
      <c r="E16" s="22"/>
      <c r="F16" s="22"/>
      <c r="G16" s="22"/>
      <c r="H16" s="22"/>
    </row>
    <row r="17" customFormat="false" ht="19.5" hidden="false" customHeight="true" outlineLevel="0" collapsed="false">
      <c r="B17" s="23" t="s">
        <v>48</v>
      </c>
      <c r="C17" s="24" t="s">
        <v>49</v>
      </c>
      <c r="D17" s="25"/>
      <c r="E17" s="25" t="n">
        <v>150</v>
      </c>
      <c r="F17" s="25" t="n">
        <v>170</v>
      </c>
      <c r="G17" s="26"/>
      <c r="H17" s="27"/>
    </row>
    <row r="18" customFormat="false" ht="19.5" hidden="false" customHeight="true" outlineLevel="0" collapsed="false">
      <c r="B18" s="23" t="s">
        <v>50</v>
      </c>
      <c r="C18" s="24" t="s">
        <v>51</v>
      </c>
      <c r="D18" s="25"/>
      <c r="E18" s="25" t="n">
        <v>150</v>
      </c>
      <c r="F18" s="25" t="n">
        <v>170</v>
      </c>
      <c r="G18" s="26"/>
      <c r="H18" s="27"/>
    </row>
    <row r="19" customFormat="false" ht="19.5" hidden="false" customHeight="true" outlineLevel="0" collapsed="false">
      <c r="B19" s="23" t="s">
        <v>52</v>
      </c>
      <c r="C19" s="24" t="s">
        <v>46</v>
      </c>
      <c r="D19" s="25"/>
      <c r="E19" s="25" t="n">
        <v>200</v>
      </c>
      <c r="F19" s="25" t="n">
        <v>220</v>
      </c>
      <c r="G19" s="26"/>
      <c r="H19" s="27"/>
    </row>
    <row r="20" customFormat="false" ht="19.5" hidden="false" customHeight="true" outlineLevel="0" collapsed="false">
      <c r="B20" s="23" t="s">
        <v>53</v>
      </c>
      <c r="C20" s="24" t="s">
        <v>54</v>
      </c>
      <c r="D20" s="25"/>
      <c r="E20" s="25" t="n">
        <v>220</v>
      </c>
      <c r="F20" s="25" t="n">
        <v>240</v>
      </c>
      <c r="G20" s="26"/>
      <c r="H20" s="27"/>
    </row>
    <row r="21" customFormat="false" ht="19.5" hidden="false" customHeight="true" outlineLevel="0" collapsed="false">
      <c r="B21" s="23" t="s">
        <v>55</v>
      </c>
      <c r="C21" s="24" t="s">
        <v>56</v>
      </c>
      <c r="D21" s="25"/>
      <c r="E21" s="25" t="n">
        <v>210</v>
      </c>
      <c r="F21" s="25" t="n">
        <v>230</v>
      </c>
      <c r="G21" s="26" t="s">
        <v>30</v>
      </c>
      <c r="H21" s="27"/>
    </row>
    <row r="22" customFormat="false" ht="19.5" hidden="false" customHeight="true" outlineLevel="0" collapsed="false">
      <c r="B22" s="23" t="s">
        <v>57</v>
      </c>
      <c r="C22" s="24" t="s">
        <v>58</v>
      </c>
      <c r="D22" s="25"/>
      <c r="E22" s="25" t="n">
        <v>200</v>
      </c>
      <c r="F22" s="25" t="n">
        <v>220</v>
      </c>
      <c r="G22" s="26"/>
      <c r="H22" s="27"/>
    </row>
    <row r="23" customFormat="false" ht="19.5" hidden="false" customHeight="true" outlineLevel="0" collapsed="false">
      <c r="B23" s="23" t="s">
        <v>59</v>
      </c>
      <c r="C23" s="24" t="s">
        <v>60</v>
      </c>
      <c r="D23" s="25"/>
      <c r="E23" s="25" t="n">
        <v>150</v>
      </c>
      <c r="F23" s="25" t="n">
        <v>170</v>
      </c>
      <c r="G23" s="26"/>
      <c r="H23" s="27"/>
    </row>
    <row r="25" customFormat="false" ht="21.75" hidden="false" customHeight="true" outlineLevel="0" collapsed="false">
      <c r="B25" s="22" t="s">
        <v>61</v>
      </c>
      <c r="C25" s="22"/>
      <c r="D25" s="22"/>
      <c r="E25" s="22"/>
      <c r="F25" s="22"/>
      <c r="G25" s="22"/>
      <c r="H25" s="22"/>
    </row>
    <row r="26" customFormat="false" ht="19.5" hidden="false" customHeight="true" outlineLevel="0" collapsed="false">
      <c r="B26" s="23" t="s">
        <v>62</v>
      </c>
      <c r="C26" s="24" t="s">
        <v>63</v>
      </c>
      <c r="D26" s="25"/>
      <c r="E26" s="25" t="n">
        <v>230</v>
      </c>
      <c r="F26" s="25" t="n">
        <v>250</v>
      </c>
      <c r="G26" s="26"/>
      <c r="H26" s="27"/>
    </row>
    <row r="27" customFormat="false" ht="19.5" hidden="false" customHeight="true" outlineLevel="0" collapsed="false">
      <c r="B27" s="23" t="s">
        <v>64</v>
      </c>
      <c r="C27" s="24" t="s">
        <v>65</v>
      </c>
      <c r="D27" s="25"/>
      <c r="E27" s="25" t="n">
        <v>230</v>
      </c>
      <c r="F27" s="25" t="n">
        <v>250</v>
      </c>
      <c r="G27" s="26"/>
      <c r="H27" s="27"/>
    </row>
    <row r="28" customFormat="false" ht="19.5" hidden="false" customHeight="true" outlineLevel="0" collapsed="false">
      <c r="B28" s="23" t="s">
        <v>66</v>
      </c>
      <c r="C28" s="24" t="s">
        <v>67</v>
      </c>
      <c r="D28" s="25"/>
      <c r="E28" s="25" t="n">
        <v>230</v>
      </c>
      <c r="F28" s="25" t="n">
        <v>250</v>
      </c>
      <c r="G28" s="26" t="s">
        <v>30</v>
      </c>
      <c r="H28" s="27"/>
    </row>
    <row r="29" customFormat="false" ht="19.5" hidden="false" customHeight="true" outlineLevel="0" collapsed="false">
      <c r="B29" s="23" t="s">
        <v>68</v>
      </c>
      <c r="C29" s="24" t="s">
        <v>69</v>
      </c>
      <c r="D29" s="25"/>
      <c r="E29" s="25" t="n">
        <v>240</v>
      </c>
      <c r="F29" s="25" t="n">
        <v>260</v>
      </c>
      <c r="G29" s="26"/>
      <c r="H29" s="27"/>
    </row>
    <row r="30" customFormat="false" ht="19.5" hidden="false" customHeight="true" outlineLevel="0" collapsed="false">
      <c r="B30" s="23" t="s">
        <v>70</v>
      </c>
      <c r="C30" s="24" t="s">
        <v>71</v>
      </c>
      <c r="D30" s="25"/>
      <c r="E30" s="25" t="n">
        <v>250</v>
      </c>
      <c r="F30" s="25" t="n">
        <v>270</v>
      </c>
      <c r="G30" s="26" t="s">
        <v>30</v>
      </c>
      <c r="H30" s="27"/>
    </row>
    <row r="31" customFormat="false" ht="19.5" hidden="false" customHeight="true" outlineLevel="0" collapsed="false">
      <c r="B31" s="23" t="s">
        <v>72</v>
      </c>
      <c r="C31" s="24" t="s">
        <v>73</v>
      </c>
      <c r="D31" s="25"/>
      <c r="E31" s="25" t="n">
        <v>270</v>
      </c>
      <c r="F31" s="25" t="n">
        <v>300</v>
      </c>
      <c r="G31" s="26"/>
      <c r="H31" s="27"/>
    </row>
    <row r="32" customFormat="false" ht="19.5" hidden="false" customHeight="true" outlineLevel="0" collapsed="false">
      <c r="B32" s="23" t="s">
        <v>74</v>
      </c>
      <c r="C32" s="24" t="s">
        <v>75</v>
      </c>
      <c r="D32" s="25"/>
      <c r="E32" s="25" t="n">
        <v>300</v>
      </c>
      <c r="F32" s="25" t="n">
        <v>340</v>
      </c>
      <c r="G32" s="26"/>
      <c r="H32" s="27"/>
    </row>
    <row r="34" customFormat="false" ht="21.75" hidden="false" customHeight="true" outlineLevel="0" collapsed="false">
      <c r="B34" s="22" t="s">
        <v>76</v>
      </c>
      <c r="C34" s="22"/>
      <c r="D34" s="22"/>
      <c r="E34" s="22"/>
      <c r="F34" s="22"/>
      <c r="G34" s="22"/>
      <c r="H34" s="22"/>
    </row>
    <row r="35" customFormat="false" ht="19.5" hidden="false" customHeight="true" outlineLevel="0" collapsed="false">
      <c r="B35" s="23" t="s">
        <v>77</v>
      </c>
      <c r="C35" s="24" t="s">
        <v>78</v>
      </c>
      <c r="D35" s="25"/>
      <c r="E35" s="25" t="n">
        <v>250</v>
      </c>
      <c r="F35" s="25" t="n">
        <v>270</v>
      </c>
      <c r="G35" s="26"/>
      <c r="H35" s="27"/>
    </row>
    <row r="36" customFormat="false" ht="19.5" hidden="false" customHeight="true" outlineLevel="0" collapsed="false">
      <c r="B36" s="23" t="s">
        <v>79</v>
      </c>
      <c r="C36" s="24" t="s">
        <v>80</v>
      </c>
      <c r="D36" s="25"/>
      <c r="E36" s="25" t="n">
        <v>250</v>
      </c>
      <c r="F36" s="25" t="n">
        <v>270</v>
      </c>
      <c r="G36" s="26"/>
      <c r="H36" s="27"/>
    </row>
    <row r="37" customFormat="false" ht="19.5" hidden="false" customHeight="true" outlineLevel="0" collapsed="false">
      <c r="B37" s="23" t="s">
        <v>81</v>
      </c>
      <c r="C37" s="24" t="s">
        <v>82</v>
      </c>
      <c r="D37" s="25"/>
      <c r="E37" s="25" t="n">
        <v>230</v>
      </c>
      <c r="F37" s="25" t="n">
        <v>250</v>
      </c>
      <c r="G37" s="26" t="s">
        <v>30</v>
      </c>
      <c r="H37" s="27"/>
    </row>
    <row r="38" customFormat="false" ht="19.5" hidden="false" customHeight="true" outlineLevel="0" collapsed="false">
      <c r="B38" s="23" t="s">
        <v>83</v>
      </c>
      <c r="C38" s="24" t="s">
        <v>84</v>
      </c>
      <c r="D38" s="25"/>
      <c r="E38" s="25" t="n">
        <v>230</v>
      </c>
      <c r="F38" s="25" t="n">
        <v>250</v>
      </c>
      <c r="G38" s="26"/>
      <c r="H38" s="27"/>
    </row>
    <row r="39" customFormat="false" ht="19.5" hidden="false" customHeight="true" outlineLevel="0" collapsed="false">
      <c r="B39" s="23" t="s">
        <v>85</v>
      </c>
      <c r="C39" s="24" t="s">
        <v>86</v>
      </c>
      <c r="D39" s="25"/>
      <c r="E39" s="25" t="n">
        <v>260</v>
      </c>
      <c r="F39" s="25" t="n">
        <v>280</v>
      </c>
      <c r="G39" s="26"/>
      <c r="H39" s="27"/>
    </row>
    <row r="41" customFormat="false" ht="21.75" hidden="false" customHeight="true" outlineLevel="0" collapsed="false">
      <c r="B41" s="22" t="s">
        <v>87</v>
      </c>
      <c r="C41" s="22"/>
      <c r="D41" s="22"/>
      <c r="E41" s="22"/>
      <c r="F41" s="22"/>
      <c r="G41" s="22"/>
      <c r="H41" s="22"/>
    </row>
    <row r="42" customFormat="false" ht="19.5" hidden="false" customHeight="true" outlineLevel="0" collapsed="false">
      <c r="B42" s="23" t="s">
        <v>88</v>
      </c>
      <c r="C42" s="24" t="s">
        <v>89</v>
      </c>
      <c r="D42" s="25" t="n">
        <v>145</v>
      </c>
      <c r="E42" s="25"/>
      <c r="F42" s="25"/>
      <c r="G42" s="26"/>
      <c r="H42" s="27"/>
    </row>
    <row r="43" customFormat="false" ht="19.5" hidden="false" customHeight="true" outlineLevel="0" collapsed="false">
      <c r="B43" s="23" t="s">
        <v>90</v>
      </c>
      <c r="C43" s="24" t="s">
        <v>91</v>
      </c>
      <c r="D43" s="25" t="n">
        <v>160</v>
      </c>
      <c r="E43" s="25"/>
      <c r="F43" s="25"/>
      <c r="G43" s="26"/>
      <c r="H43" s="27"/>
    </row>
    <row r="44" customFormat="false" ht="19.5" hidden="false" customHeight="true" outlineLevel="0" collapsed="false">
      <c r="B44" s="23" t="s">
        <v>92</v>
      </c>
      <c r="C44" s="24" t="s">
        <v>93</v>
      </c>
      <c r="D44" s="25" t="n">
        <v>150</v>
      </c>
      <c r="E44" s="25"/>
      <c r="F44" s="25"/>
      <c r="G44" s="26" t="s">
        <v>30</v>
      </c>
      <c r="H44" s="27"/>
    </row>
    <row r="45" customFormat="false" ht="19.5" hidden="false" customHeight="true" outlineLevel="0" collapsed="false">
      <c r="B45" s="23" t="s">
        <v>94</v>
      </c>
      <c r="C45" s="24" t="s">
        <v>95</v>
      </c>
      <c r="D45" s="25" t="n">
        <v>165</v>
      </c>
      <c r="E45" s="25"/>
      <c r="F45" s="25"/>
      <c r="G45" s="26"/>
      <c r="H45" s="27"/>
    </row>
    <row r="47" customFormat="false" ht="21.75" hidden="false" customHeight="true" outlineLevel="0" collapsed="false">
      <c r="B47" s="22" t="s">
        <v>96</v>
      </c>
      <c r="C47" s="22"/>
      <c r="D47" s="22"/>
      <c r="E47" s="22"/>
      <c r="F47" s="22"/>
      <c r="G47" s="22"/>
      <c r="H47" s="22"/>
    </row>
    <row r="48" customFormat="false" ht="19.5" hidden="false" customHeight="true" outlineLevel="0" collapsed="false">
      <c r="B48" s="23" t="s">
        <v>97</v>
      </c>
      <c r="C48" s="24"/>
      <c r="D48" s="25" t="n">
        <v>70</v>
      </c>
      <c r="E48" s="25"/>
      <c r="F48" s="25"/>
      <c r="G48" s="26"/>
      <c r="H48" s="27"/>
    </row>
    <row r="49" customFormat="false" ht="19.5" hidden="false" customHeight="true" outlineLevel="0" collapsed="false">
      <c r="B49" s="23" t="s">
        <v>98</v>
      </c>
      <c r="C49" s="24"/>
      <c r="D49" s="25" t="n">
        <v>90</v>
      </c>
      <c r="E49" s="25"/>
      <c r="F49" s="25"/>
      <c r="G49" s="26"/>
      <c r="H49" s="27"/>
    </row>
    <row r="50" customFormat="false" ht="19.5" hidden="false" customHeight="true" outlineLevel="0" collapsed="false">
      <c r="B50" s="23" t="s">
        <v>99</v>
      </c>
      <c r="C50" s="24" t="s">
        <v>100</v>
      </c>
      <c r="D50" s="25"/>
      <c r="E50" s="25" t="n">
        <v>100</v>
      </c>
      <c r="F50" s="25" t="n">
        <v>110</v>
      </c>
      <c r="G50" s="26"/>
      <c r="H50" s="27" t="s">
        <v>101</v>
      </c>
    </row>
    <row r="51" customFormat="false" ht="19.5" hidden="false" customHeight="true" outlineLevel="0" collapsed="false">
      <c r="B51" s="23" t="s">
        <v>102</v>
      </c>
      <c r="C51" s="24" t="s">
        <v>103</v>
      </c>
      <c r="D51" s="25" t="n">
        <v>130</v>
      </c>
      <c r="E51" s="25"/>
      <c r="F51" s="25"/>
      <c r="G51" s="26"/>
      <c r="H51" s="27"/>
    </row>
    <row r="52" customFormat="false" ht="19.5" hidden="false" customHeight="true" outlineLevel="0" collapsed="false">
      <c r="B52" s="23" t="s">
        <v>104</v>
      </c>
      <c r="C52" s="24" t="s">
        <v>105</v>
      </c>
      <c r="D52" s="25" t="n">
        <v>130</v>
      </c>
      <c r="E52" s="25"/>
      <c r="F52" s="25"/>
      <c r="G52" s="26"/>
      <c r="H52" s="27"/>
    </row>
    <row r="53" customFormat="false" ht="19.5" hidden="false" customHeight="true" outlineLevel="0" collapsed="false">
      <c r="B53" s="23" t="s">
        <v>106</v>
      </c>
      <c r="C53" s="24" t="s">
        <v>107</v>
      </c>
      <c r="D53" s="25" t="n">
        <v>130</v>
      </c>
      <c r="E53" s="25"/>
      <c r="F53" s="25"/>
      <c r="G53" s="26"/>
      <c r="H53" s="27"/>
    </row>
    <row r="54" customFormat="false" ht="19.5" hidden="false" customHeight="true" outlineLevel="0" collapsed="false">
      <c r="B54" s="23" t="s">
        <v>108</v>
      </c>
      <c r="C54" s="24" t="s">
        <v>109</v>
      </c>
      <c r="D54" s="25" t="n">
        <v>130</v>
      </c>
      <c r="E54" s="25"/>
      <c r="F54" s="25"/>
      <c r="G54" s="26"/>
      <c r="H54" s="27"/>
    </row>
    <row r="55" customFormat="false" ht="19.5" hidden="false" customHeight="true" outlineLevel="0" collapsed="false">
      <c r="B55" s="23" t="s">
        <v>110</v>
      </c>
      <c r="C55" s="24" t="s">
        <v>111</v>
      </c>
      <c r="D55" s="25" t="n">
        <v>130</v>
      </c>
      <c r="E55" s="25"/>
      <c r="F55" s="25"/>
      <c r="G55" s="26"/>
      <c r="H55" s="27"/>
    </row>
    <row r="56" customFormat="false" ht="19.5" hidden="false" customHeight="true" outlineLevel="0" collapsed="false">
      <c r="B56" s="23" t="s">
        <v>112</v>
      </c>
      <c r="C56" s="24" t="s">
        <v>113</v>
      </c>
      <c r="D56" s="25" t="n">
        <v>130</v>
      </c>
      <c r="E56" s="25"/>
      <c r="F56" s="25"/>
      <c r="G56" s="26" t="s">
        <v>30</v>
      </c>
      <c r="H56" s="27"/>
    </row>
    <row r="58" customFormat="false" ht="21.75" hidden="false" customHeight="true" outlineLevel="0" collapsed="false">
      <c r="B58" s="22" t="s">
        <v>114</v>
      </c>
      <c r="C58" s="22"/>
      <c r="D58" s="22"/>
      <c r="E58" s="22"/>
      <c r="F58" s="22"/>
      <c r="G58" s="22"/>
      <c r="H58" s="22"/>
    </row>
    <row r="59" customFormat="false" ht="19.5" hidden="false" customHeight="true" outlineLevel="0" collapsed="false">
      <c r="B59" s="23" t="s">
        <v>115</v>
      </c>
      <c r="C59" s="24" t="s">
        <v>116</v>
      </c>
      <c r="D59" s="25"/>
      <c r="E59" s="25" t="n">
        <v>290</v>
      </c>
      <c r="F59" s="25" t="n">
        <v>320</v>
      </c>
      <c r="G59" s="26" t="s">
        <v>30</v>
      </c>
      <c r="H59" s="27" t="s">
        <v>117</v>
      </c>
    </row>
    <row r="60" customFormat="false" ht="30" hidden="false" customHeight="true" outlineLevel="0" collapsed="false">
      <c r="B60" s="23" t="s">
        <v>118</v>
      </c>
      <c r="C60" s="24" t="s">
        <v>119</v>
      </c>
      <c r="D60" s="25"/>
      <c r="E60" s="25" t="n">
        <v>300</v>
      </c>
      <c r="F60" s="25" t="n">
        <v>340</v>
      </c>
      <c r="G60" s="26"/>
      <c r="H60" s="27" t="s">
        <v>117</v>
      </c>
    </row>
    <row r="61" customFormat="false" ht="19.5" hidden="false" customHeight="true" outlineLevel="0" collapsed="false">
      <c r="B61" s="23" t="s">
        <v>120</v>
      </c>
      <c r="C61" s="24" t="s">
        <v>121</v>
      </c>
      <c r="D61" s="25"/>
      <c r="E61" s="25" t="n">
        <v>290</v>
      </c>
      <c r="F61" s="25" t="n">
        <v>320</v>
      </c>
      <c r="G61" s="26" t="s">
        <v>30</v>
      </c>
      <c r="H61" s="27" t="s">
        <v>117</v>
      </c>
    </row>
    <row r="62" customFormat="false" ht="19.5" hidden="false" customHeight="true" outlineLevel="0" collapsed="false">
      <c r="B62" s="23" t="s">
        <v>122</v>
      </c>
      <c r="C62" s="24" t="s">
        <v>123</v>
      </c>
      <c r="D62" s="25"/>
      <c r="E62" s="25" t="n">
        <v>275</v>
      </c>
      <c r="F62" s="25" t="n">
        <v>305</v>
      </c>
      <c r="G62" s="26" t="s">
        <v>30</v>
      </c>
      <c r="H62" s="27" t="s">
        <v>117</v>
      </c>
    </row>
    <row r="63" customFormat="false" ht="30" hidden="false" customHeight="true" outlineLevel="0" collapsed="false">
      <c r="B63" s="23" t="s">
        <v>124</v>
      </c>
      <c r="C63" s="24" t="s">
        <v>125</v>
      </c>
      <c r="D63" s="25"/>
      <c r="E63" s="25" t="n">
        <v>290</v>
      </c>
      <c r="F63" s="25" t="n">
        <v>320</v>
      </c>
      <c r="G63" s="26"/>
      <c r="H63" s="27" t="s">
        <v>117</v>
      </c>
    </row>
    <row r="65" customFormat="false" ht="21.75" hidden="false" customHeight="true" outlineLevel="0" collapsed="false">
      <c r="B65" s="28" t="s">
        <v>126</v>
      </c>
      <c r="C65" s="28"/>
      <c r="D65" s="28"/>
      <c r="E65" s="28"/>
      <c r="F65" s="28"/>
      <c r="G65" s="28"/>
      <c r="H65" s="28"/>
    </row>
    <row r="66" customFormat="false" ht="15" hidden="false" customHeight="false" outlineLevel="0" collapsed="false">
      <c r="B66" s="29" t="s">
        <v>127</v>
      </c>
      <c r="C66" s="30"/>
      <c r="D66" s="25" t="n">
        <v>45</v>
      </c>
      <c r="E66" s="30"/>
      <c r="F66" s="30"/>
      <c r="G66" s="30"/>
      <c r="H66" s="30"/>
    </row>
    <row r="67" customFormat="false" ht="15" hidden="false" customHeight="false" outlineLevel="0" collapsed="false">
      <c r="B67" s="29" t="s">
        <v>128</v>
      </c>
      <c r="C67" s="30"/>
      <c r="D67" s="25" t="n">
        <v>60</v>
      </c>
      <c r="E67" s="30"/>
      <c r="F67" s="30"/>
      <c r="G67" s="30"/>
      <c r="H67" s="30"/>
    </row>
    <row r="68" customFormat="false" ht="15" hidden="false" customHeight="false" outlineLevel="0" collapsed="false">
      <c r="B68" s="29" t="s">
        <v>129</v>
      </c>
      <c r="C68" s="30"/>
      <c r="D68" s="25" t="n">
        <v>60</v>
      </c>
      <c r="E68" s="30"/>
      <c r="F68" s="30"/>
      <c r="G68" s="30"/>
      <c r="H68" s="30"/>
    </row>
    <row r="69" customFormat="false" ht="15" hidden="false" customHeight="false" outlineLevel="0" collapsed="false">
      <c r="B69" s="29" t="s">
        <v>130</v>
      </c>
      <c r="C69" s="30"/>
      <c r="D69" s="25" t="n">
        <v>60</v>
      </c>
      <c r="E69" s="30"/>
      <c r="F69" s="30"/>
      <c r="G69" s="30"/>
      <c r="H69" s="30"/>
    </row>
    <row r="70" customFormat="false" ht="15" hidden="false" customHeight="false" outlineLevel="0" collapsed="false">
      <c r="B70" s="29" t="s">
        <v>131</v>
      </c>
      <c r="C70" s="30"/>
      <c r="D70" s="25" t="n">
        <v>40</v>
      </c>
      <c r="E70" s="30"/>
      <c r="F70" s="30"/>
      <c r="G70" s="30"/>
      <c r="H70" s="30"/>
    </row>
    <row r="72" customFormat="false" ht="15" hidden="false" customHeight="false" outlineLevel="0" collapsed="false">
      <c r="B72" s="31" t="s">
        <v>132</v>
      </c>
      <c r="C72" s="31"/>
      <c r="D72" s="31"/>
      <c r="E72" s="31"/>
      <c r="F72" s="31"/>
      <c r="G72" s="31"/>
      <c r="H72" s="31"/>
    </row>
  </sheetData>
  <mergeCells count="11">
    <mergeCell ref="C1:H2"/>
    <mergeCell ref="B3:H3"/>
    <mergeCell ref="B7:H7"/>
    <mergeCell ref="B16:H16"/>
    <mergeCell ref="B25:H25"/>
    <mergeCell ref="B34:H34"/>
    <mergeCell ref="B41:H41"/>
    <mergeCell ref="B47:H47"/>
    <mergeCell ref="B58:H58"/>
    <mergeCell ref="B65:H65"/>
    <mergeCell ref="B72:H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70B5"/>
    <pageSetUpPr fitToPage="true"/>
  </sheetPr>
  <dimension ref="B1:G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7"/>
    <col collapsed="false" customWidth="true" hidden="false" outlineLevel="0" max="3" min="3" style="0" width="40"/>
    <col collapsed="false" customWidth="true" hidden="false" outlineLevel="0" max="5" min="4" style="0" width="11"/>
    <col collapsed="false" customWidth="true" hidden="false" outlineLevel="0" max="6" min="6" style="0" width="6"/>
    <col collapsed="false" customWidth="true" hidden="false" outlineLevel="0" max="7" min="7" style="0" width="18"/>
  </cols>
  <sheetData>
    <row r="1" customFormat="false" ht="30" hidden="false" customHeight="true" outlineLevel="0" collapsed="false">
      <c r="B1" s="32"/>
      <c r="C1" s="33" t="s">
        <v>133</v>
      </c>
      <c r="D1" s="33"/>
      <c r="E1" s="33"/>
      <c r="F1" s="33"/>
      <c r="G1" s="33"/>
    </row>
    <row r="2" customFormat="false" ht="30" hidden="false" customHeight="true" outlineLevel="0" collapsed="false">
      <c r="B2" s="32"/>
      <c r="C2" s="33"/>
      <c r="D2" s="33"/>
      <c r="E2" s="33"/>
      <c r="F2" s="33"/>
      <c r="G2" s="33"/>
    </row>
    <row r="3" customFormat="false" ht="21.75" hidden="false" customHeight="true" outlineLevel="0" collapsed="false">
      <c r="B3" s="34" t="s">
        <v>134</v>
      </c>
      <c r="C3" s="34"/>
      <c r="D3" s="34"/>
      <c r="E3" s="34"/>
      <c r="F3" s="34"/>
      <c r="G3" s="34"/>
    </row>
    <row r="5" customFormat="false" ht="25.5" hidden="false" customHeight="true" outlineLevel="0" collapsed="false">
      <c r="B5" s="4" t="s">
        <v>28</v>
      </c>
      <c r="C5" s="5" t="s">
        <v>29</v>
      </c>
      <c r="D5" s="5" t="s">
        <v>15</v>
      </c>
      <c r="E5" s="5" t="s">
        <v>17</v>
      </c>
      <c r="F5" s="5" t="s">
        <v>30</v>
      </c>
      <c r="G5" s="5" t="s">
        <v>31</v>
      </c>
    </row>
    <row r="7" customFormat="false" ht="21.75" hidden="false" customHeight="true" outlineLevel="0" collapsed="false">
      <c r="B7" s="35" t="s">
        <v>135</v>
      </c>
      <c r="C7" s="35"/>
      <c r="D7" s="35"/>
      <c r="E7" s="35"/>
      <c r="F7" s="35"/>
      <c r="G7" s="35"/>
    </row>
    <row r="8" customFormat="false" ht="19.5" hidden="false" customHeight="true" outlineLevel="0" collapsed="false">
      <c r="B8" s="23" t="s">
        <v>136</v>
      </c>
      <c r="C8" s="24" t="s">
        <v>137</v>
      </c>
      <c r="D8" s="25" t="n">
        <v>170</v>
      </c>
      <c r="E8" s="25" t="n">
        <v>190</v>
      </c>
      <c r="F8" s="36"/>
      <c r="G8" s="27"/>
    </row>
    <row r="9" customFormat="false" ht="19.5" hidden="false" customHeight="true" outlineLevel="0" collapsed="false">
      <c r="B9" s="23" t="s">
        <v>138</v>
      </c>
      <c r="C9" s="24" t="s">
        <v>139</v>
      </c>
      <c r="D9" s="25" t="n">
        <v>220</v>
      </c>
      <c r="E9" s="25" t="n">
        <v>240</v>
      </c>
      <c r="F9" s="36"/>
      <c r="G9" s="27"/>
    </row>
    <row r="10" customFormat="false" ht="19.5" hidden="false" customHeight="true" outlineLevel="0" collapsed="false">
      <c r="B10" s="23" t="s">
        <v>140</v>
      </c>
      <c r="C10" s="24" t="s">
        <v>141</v>
      </c>
      <c r="D10" s="25" t="n">
        <v>240</v>
      </c>
      <c r="E10" s="25" t="n">
        <v>260</v>
      </c>
      <c r="F10" s="36"/>
      <c r="G10" s="27"/>
    </row>
    <row r="11" customFormat="false" ht="19.5" hidden="false" customHeight="true" outlineLevel="0" collapsed="false">
      <c r="B11" s="23" t="s">
        <v>142</v>
      </c>
      <c r="C11" s="24" t="s">
        <v>143</v>
      </c>
      <c r="D11" s="25" t="n">
        <v>230</v>
      </c>
      <c r="E11" s="25" t="n">
        <v>250</v>
      </c>
      <c r="F11" s="36"/>
      <c r="G11" s="27"/>
    </row>
    <row r="12" customFormat="false" ht="19.5" hidden="false" customHeight="true" outlineLevel="0" collapsed="false">
      <c r="B12" s="23" t="s">
        <v>144</v>
      </c>
      <c r="C12" s="24" t="s">
        <v>145</v>
      </c>
      <c r="D12" s="25" t="n">
        <v>250</v>
      </c>
      <c r="E12" s="25" t="n">
        <v>280</v>
      </c>
      <c r="F12" s="36" t="s">
        <v>30</v>
      </c>
      <c r="G12" s="27"/>
    </row>
    <row r="13" customFormat="false" ht="19.5" hidden="false" customHeight="true" outlineLevel="0" collapsed="false">
      <c r="B13" s="23" t="s">
        <v>146</v>
      </c>
      <c r="C13" s="24" t="s">
        <v>147</v>
      </c>
      <c r="D13" s="25" t="n">
        <v>150</v>
      </c>
      <c r="E13" s="25" t="n">
        <v>170</v>
      </c>
      <c r="F13" s="36"/>
      <c r="G13" s="27"/>
    </row>
    <row r="14" customFormat="false" ht="19.5" hidden="false" customHeight="true" outlineLevel="0" collapsed="false">
      <c r="B14" s="23" t="s">
        <v>148</v>
      </c>
      <c r="C14" s="24" t="s">
        <v>149</v>
      </c>
      <c r="D14" s="25" t="n">
        <v>250</v>
      </c>
      <c r="E14" s="25" t="n">
        <v>270</v>
      </c>
      <c r="F14" s="36"/>
      <c r="G14" s="27"/>
    </row>
    <row r="16" customFormat="false" ht="21.75" hidden="false" customHeight="true" outlineLevel="0" collapsed="false">
      <c r="B16" s="35" t="s">
        <v>150</v>
      </c>
      <c r="C16" s="35"/>
      <c r="D16" s="35"/>
      <c r="E16" s="35"/>
      <c r="F16" s="35"/>
      <c r="G16" s="35"/>
    </row>
    <row r="17" customFormat="false" ht="19.5" hidden="false" customHeight="true" outlineLevel="0" collapsed="false">
      <c r="B17" s="23" t="s">
        <v>151</v>
      </c>
      <c r="C17" s="24" t="s">
        <v>152</v>
      </c>
      <c r="D17" s="25" t="n">
        <v>150</v>
      </c>
      <c r="E17" s="25" t="n">
        <v>170</v>
      </c>
      <c r="F17" s="36"/>
      <c r="G17" s="27"/>
    </row>
    <row r="18" customFormat="false" ht="19.5" hidden="false" customHeight="true" outlineLevel="0" collapsed="false">
      <c r="B18" s="23" t="s">
        <v>153</v>
      </c>
      <c r="C18" s="24" t="s">
        <v>154</v>
      </c>
      <c r="D18" s="25" t="n">
        <v>170</v>
      </c>
      <c r="E18" s="25" t="n">
        <v>190</v>
      </c>
      <c r="F18" s="36"/>
      <c r="G18" s="27"/>
    </row>
    <row r="20" customFormat="false" ht="21.75" hidden="false" customHeight="true" outlineLevel="0" collapsed="false">
      <c r="B20" s="35" t="s">
        <v>155</v>
      </c>
      <c r="C20" s="35"/>
      <c r="D20" s="35"/>
      <c r="E20" s="35"/>
      <c r="F20" s="35"/>
      <c r="G20" s="35"/>
    </row>
    <row r="21" customFormat="false" ht="19.5" hidden="false" customHeight="true" outlineLevel="0" collapsed="false">
      <c r="B21" s="23" t="s">
        <v>156</v>
      </c>
      <c r="C21" s="24" t="s">
        <v>157</v>
      </c>
      <c r="D21" s="25" t="n">
        <v>170</v>
      </c>
      <c r="E21" s="25" t="n">
        <v>190</v>
      </c>
      <c r="F21" s="36" t="s">
        <v>30</v>
      </c>
      <c r="G21" s="27"/>
    </row>
    <row r="23" customFormat="false" ht="21.75" hidden="false" customHeight="true" outlineLevel="0" collapsed="false">
      <c r="B23" s="35" t="s">
        <v>158</v>
      </c>
      <c r="C23" s="35"/>
      <c r="D23" s="35"/>
      <c r="E23" s="35"/>
      <c r="F23" s="35"/>
      <c r="G23" s="35"/>
    </row>
    <row r="24" customFormat="false" ht="19.5" hidden="false" customHeight="true" outlineLevel="0" collapsed="false">
      <c r="B24" s="23" t="s">
        <v>159</v>
      </c>
      <c r="C24" s="24" t="s">
        <v>63</v>
      </c>
      <c r="D24" s="25" t="n">
        <v>250</v>
      </c>
      <c r="E24" s="25" t="n">
        <v>270</v>
      </c>
      <c r="F24" s="36"/>
      <c r="G24" s="27"/>
    </row>
    <row r="25" customFormat="false" ht="19.5" hidden="false" customHeight="true" outlineLevel="0" collapsed="false">
      <c r="B25" s="23" t="s">
        <v>160</v>
      </c>
      <c r="C25" s="24" t="s">
        <v>161</v>
      </c>
      <c r="D25" s="25" t="n">
        <v>250</v>
      </c>
      <c r="E25" s="25" t="n">
        <v>270</v>
      </c>
      <c r="F25" s="36"/>
      <c r="G25" s="27"/>
    </row>
    <row r="26" customFormat="false" ht="19.5" hidden="false" customHeight="true" outlineLevel="0" collapsed="false">
      <c r="B26" s="23" t="s">
        <v>162</v>
      </c>
      <c r="C26" s="24" t="s">
        <v>163</v>
      </c>
      <c r="D26" s="25" t="n">
        <v>250</v>
      </c>
      <c r="E26" s="25" t="n">
        <v>270</v>
      </c>
      <c r="F26" s="36"/>
      <c r="G26" s="27"/>
    </row>
    <row r="27" customFormat="false" ht="19.5" hidden="false" customHeight="true" outlineLevel="0" collapsed="false">
      <c r="B27" s="23" t="s">
        <v>164</v>
      </c>
      <c r="C27" s="24" t="s">
        <v>165</v>
      </c>
      <c r="D27" s="25" t="n">
        <v>240</v>
      </c>
      <c r="E27" s="25" t="n">
        <v>260</v>
      </c>
      <c r="F27" s="36"/>
      <c r="G27" s="27"/>
    </row>
    <row r="28" customFormat="false" ht="19.5" hidden="false" customHeight="true" outlineLevel="0" collapsed="false">
      <c r="B28" s="23" t="s">
        <v>166</v>
      </c>
      <c r="C28" s="24" t="s">
        <v>167</v>
      </c>
      <c r="D28" s="25" t="n">
        <v>260</v>
      </c>
      <c r="E28" s="25" t="n">
        <v>280</v>
      </c>
      <c r="F28" s="36" t="s">
        <v>30</v>
      </c>
      <c r="G28" s="27"/>
    </row>
    <row r="29" customFormat="false" ht="19.5" hidden="false" customHeight="true" outlineLevel="0" collapsed="false">
      <c r="B29" s="23" t="s">
        <v>168</v>
      </c>
      <c r="C29" s="24" t="s">
        <v>169</v>
      </c>
      <c r="D29" s="25" t="n">
        <v>300</v>
      </c>
      <c r="E29" s="25" t="n">
        <v>340</v>
      </c>
      <c r="F29" s="36"/>
      <c r="G29" s="27"/>
    </row>
    <row r="31" customFormat="false" ht="21.75" hidden="false" customHeight="true" outlineLevel="0" collapsed="false">
      <c r="B31" s="35" t="s">
        <v>170</v>
      </c>
      <c r="C31" s="35"/>
      <c r="D31" s="35"/>
      <c r="E31" s="35"/>
      <c r="F31" s="35"/>
      <c r="G31" s="35"/>
    </row>
    <row r="32" customFormat="false" ht="30" hidden="false" customHeight="true" outlineLevel="0" collapsed="false">
      <c r="B32" s="23" t="s">
        <v>171</v>
      </c>
      <c r="C32" s="24" t="s">
        <v>172</v>
      </c>
      <c r="D32" s="25" t="n">
        <v>280</v>
      </c>
      <c r="E32" s="25" t="n">
        <v>300</v>
      </c>
      <c r="F32" s="36" t="s">
        <v>30</v>
      </c>
      <c r="G32" s="27"/>
    </row>
    <row r="33" customFormat="false" ht="19.5" hidden="false" customHeight="true" outlineLevel="0" collapsed="false">
      <c r="B33" s="23" t="s">
        <v>173</v>
      </c>
      <c r="C33" s="24" t="s">
        <v>174</v>
      </c>
      <c r="D33" s="25" t="n">
        <v>270</v>
      </c>
      <c r="E33" s="25" t="n">
        <v>290</v>
      </c>
      <c r="F33" s="36"/>
      <c r="G33" s="27"/>
    </row>
    <row r="34" customFormat="false" ht="19.5" hidden="false" customHeight="true" outlineLevel="0" collapsed="false">
      <c r="B34" s="23" t="s">
        <v>175</v>
      </c>
      <c r="C34" s="24" t="s">
        <v>176</v>
      </c>
      <c r="D34" s="25" t="n">
        <v>270</v>
      </c>
      <c r="E34" s="25" t="n">
        <v>290</v>
      </c>
      <c r="F34" s="36"/>
      <c r="G34" s="27"/>
    </row>
    <row r="35" customFormat="false" ht="19.5" hidden="false" customHeight="true" outlineLevel="0" collapsed="false">
      <c r="B35" s="23" t="s">
        <v>177</v>
      </c>
      <c r="C35" s="24" t="s">
        <v>178</v>
      </c>
      <c r="D35" s="25" t="n">
        <v>300</v>
      </c>
      <c r="E35" s="25" t="n">
        <v>320</v>
      </c>
      <c r="F35" s="36"/>
      <c r="G35" s="27"/>
    </row>
    <row r="36" customFormat="false" ht="19.5" hidden="false" customHeight="true" outlineLevel="0" collapsed="false">
      <c r="B36" s="23" t="s">
        <v>179</v>
      </c>
      <c r="C36" s="24" t="s">
        <v>180</v>
      </c>
      <c r="D36" s="25" t="n">
        <v>300</v>
      </c>
      <c r="E36" s="25" t="n">
        <v>320</v>
      </c>
      <c r="F36" s="36"/>
      <c r="G36" s="27"/>
    </row>
    <row r="38" customFormat="false" ht="21.75" hidden="false" customHeight="true" outlineLevel="0" collapsed="false">
      <c r="B38" s="35" t="s">
        <v>181</v>
      </c>
      <c r="C38" s="35"/>
      <c r="D38" s="35"/>
      <c r="E38" s="35"/>
      <c r="F38" s="35"/>
      <c r="G38" s="35"/>
    </row>
    <row r="39" customFormat="false" ht="19.5" hidden="false" customHeight="true" outlineLevel="0" collapsed="false">
      <c r="B39" s="23" t="s">
        <v>182</v>
      </c>
      <c r="C39" s="24" t="s">
        <v>183</v>
      </c>
      <c r="D39" s="25" t="n">
        <v>260</v>
      </c>
      <c r="E39" s="25" t="n">
        <v>280</v>
      </c>
      <c r="F39" s="36"/>
      <c r="G39" s="27"/>
    </row>
    <row r="40" customFormat="false" ht="19.5" hidden="false" customHeight="true" outlineLevel="0" collapsed="false">
      <c r="B40" s="23" t="s">
        <v>184</v>
      </c>
      <c r="C40" s="24" t="s">
        <v>80</v>
      </c>
      <c r="D40" s="25" t="n">
        <v>260</v>
      </c>
      <c r="E40" s="25" t="n">
        <v>280</v>
      </c>
      <c r="F40" s="36"/>
      <c r="G40" s="27"/>
    </row>
    <row r="41" customFormat="false" ht="19.5" hidden="false" customHeight="true" outlineLevel="0" collapsed="false">
      <c r="B41" s="23" t="s">
        <v>185</v>
      </c>
      <c r="C41" s="24" t="s">
        <v>186</v>
      </c>
      <c r="D41" s="25" t="n">
        <v>240</v>
      </c>
      <c r="E41" s="25" t="n">
        <v>260</v>
      </c>
      <c r="F41" s="36"/>
      <c r="G41" s="27"/>
    </row>
    <row r="42" customFormat="false" ht="19.5" hidden="false" customHeight="true" outlineLevel="0" collapsed="false">
      <c r="B42" s="23" t="s">
        <v>187</v>
      </c>
      <c r="C42" s="24" t="s">
        <v>188</v>
      </c>
      <c r="D42" s="25" t="n">
        <v>270</v>
      </c>
      <c r="E42" s="25" t="n">
        <v>290</v>
      </c>
      <c r="F42" s="36" t="s">
        <v>30</v>
      </c>
      <c r="G42" s="27"/>
    </row>
    <row r="44" customFormat="false" ht="21.75" hidden="false" customHeight="true" outlineLevel="0" collapsed="false">
      <c r="B44" s="35" t="s">
        <v>189</v>
      </c>
      <c r="C44" s="35"/>
      <c r="D44" s="35"/>
      <c r="E44" s="35"/>
      <c r="F44" s="35"/>
      <c r="G44" s="35"/>
    </row>
    <row r="45" customFormat="false" ht="19.5" hidden="false" customHeight="true" outlineLevel="0" collapsed="false">
      <c r="B45" s="23" t="s">
        <v>190</v>
      </c>
      <c r="C45" s="24" t="s">
        <v>191</v>
      </c>
      <c r="D45" s="25" t="n">
        <v>300</v>
      </c>
      <c r="E45" s="25" t="n">
        <v>320</v>
      </c>
      <c r="F45" s="36" t="s">
        <v>30</v>
      </c>
      <c r="G45" s="27"/>
    </row>
    <row r="46" customFormat="false" ht="19.5" hidden="false" customHeight="true" outlineLevel="0" collapsed="false">
      <c r="B46" s="23" t="s">
        <v>192</v>
      </c>
      <c r="C46" s="24" t="s">
        <v>193</v>
      </c>
      <c r="D46" s="25" t="n">
        <v>330</v>
      </c>
      <c r="E46" s="25" t="n">
        <v>350</v>
      </c>
      <c r="F46" s="36"/>
      <c r="G46" s="27"/>
    </row>
    <row r="47" customFormat="false" ht="19.5" hidden="false" customHeight="true" outlineLevel="0" collapsed="false">
      <c r="B47" s="23" t="s">
        <v>194</v>
      </c>
      <c r="C47" s="24" t="s">
        <v>195</v>
      </c>
      <c r="D47" s="25" t="n">
        <v>290</v>
      </c>
      <c r="E47" s="25" t="n">
        <v>310</v>
      </c>
      <c r="F47" s="36"/>
      <c r="G47" s="27"/>
    </row>
    <row r="48" customFormat="false" ht="19.5" hidden="false" customHeight="true" outlineLevel="0" collapsed="false">
      <c r="B48" s="23" t="s">
        <v>196</v>
      </c>
      <c r="C48" s="24" t="s">
        <v>197</v>
      </c>
      <c r="D48" s="25" t="n">
        <v>290</v>
      </c>
      <c r="E48" s="25" t="n">
        <v>310</v>
      </c>
      <c r="F48" s="36"/>
      <c r="G48" s="27"/>
    </row>
    <row r="49" customFormat="false" ht="19.5" hidden="false" customHeight="true" outlineLevel="0" collapsed="false">
      <c r="B49" s="23" t="s">
        <v>198</v>
      </c>
      <c r="C49" s="24" t="s">
        <v>199</v>
      </c>
      <c r="D49" s="25" t="n">
        <v>290</v>
      </c>
      <c r="E49" s="25" t="n">
        <v>310</v>
      </c>
      <c r="F49" s="36"/>
      <c r="G49" s="27"/>
    </row>
    <row r="51" customFormat="false" ht="21.75" hidden="false" customHeight="true" outlineLevel="0" collapsed="false">
      <c r="B51" s="35" t="s">
        <v>114</v>
      </c>
      <c r="C51" s="35"/>
      <c r="D51" s="35"/>
      <c r="E51" s="35"/>
      <c r="F51" s="35"/>
      <c r="G51" s="35"/>
    </row>
    <row r="52" customFormat="false" ht="19.5" hidden="false" customHeight="true" outlineLevel="0" collapsed="false">
      <c r="B52" s="23" t="s">
        <v>115</v>
      </c>
      <c r="C52" s="24" t="s">
        <v>200</v>
      </c>
      <c r="D52" s="25" t="n">
        <v>300</v>
      </c>
      <c r="E52" s="25" t="n">
        <v>320</v>
      </c>
      <c r="F52" s="36" t="s">
        <v>30</v>
      </c>
      <c r="G52" s="27" t="s">
        <v>117</v>
      </c>
    </row>
    <row r="53" customFormat="false" ht="19.5" hidden="false" customHeight="true" outlineLevel="0" collapsed="false">
      <c r="B53" s="23" t="s">
        <v>201</v>
      </c>
      <c r="C53" s="24" t="s">
        <v>202</v>
      </c>
      <c r="D53" s="25" t="n">
        <v>280</v>
      </c>
      <c r="E53" s="25" t="n">
        <v>300</v>
      </c>
      <c r="F53" s="36" t="s">
        <v>30</v>
      </c>
      <c r="G53" s="27" t="s">
        <v>203</v>
      </c>
    </row>
    <row r="54" customFormat="false" ht="30" hidden="false" customHeight="true" outlineLevel="0" collapsed="false">
      <c r="B54" s="23" t="s">
        <v>204</v>
      </c>
      <c r="C54" s="24" t="s">
        <v>205</v>
      </c>
      <c r="D54" s="25" t="n">
        <v>180</v>
      </c>
      <c r="E54" s="25" t="n">
        <v>200</v>
      </c>
      <c r="F54" s="36"/>
      <c r="G54" s="27" t="s">
        <v>117</v>
      </c>
    </row>
    <row r="55" customFormat="false" ht="19.5" hidden="false" customHeight="true" outlineLevel="0" collapsed="false">
      <c r="B55" s="23" t="s">
        <v>206</v>
      </c>
      <c r="C55" s="24" t="s">
        <v>207</v>
      </c>
      <c r="D55" s="25" t="n">
        <v>180</v>
      </c>
      <c r="E55" s="25" t="n">
        <v>200</v>
      </c>
      <c r="F55" s="36"/>
      <c r="G55" s="27" t="s">
        <v>117</v>
      </c>
    </row>
    <row r="57" customFormat="false" ht="21.75" hidden="false" customHeight="true" outlineLevel="0" collapsed="false">
      <c r="B57" s="35" t="s">
        <v>208</v>
      </c>
      <c r="C57" s="35"/>
      <c r="D57" s="35"/>
      <c r="E57" s="35"/>
      <c r="F57" s="35"/>
      <c r="G57" s="35"/>
    </row>
    <row r="58" customFormat="false" ht="19.5" hidden="false" customHeight="true" outlineLevel="0" collapsed="false">
      <c r="B58" s="23" t="s">
        <v>209</v>
      </c>
      <c r="C58" s="24"/>
      <c r="D58" s="25" t="n">
        <v>40</v>
      </c>
      <c r="E58" s="25"/>
      <c r="F58" s="36"/>
      <c r="G58" s="27"/>
    </row>
    <row r="59" customFormat="false" ht="19.5" hidden="false" customHeight="true" outlineLevel="0" collapsed="false">
      <c r="B59" s="23" t="s">
        <v>210</v>
      </c>
      <c r="C59" s="24"/>
      <c r="D59" s="25" t="n">
        <v>60</v>
      </c>
      <c r="E59" s="25"/>
      <c r="F59" s="36"/>
      <c r="G59" s="27"/>
    </row>
    <row r="60" customFormat="false" ht="19.5" hidden="false" customHeight="true" outlineLevel="0" collapsed="false">
      <c r="B60" s="23" t="s">
        <v>211</v>
      </c>
      <c r="C60" s="24"/>
      <c r="D60" s="25" t="n">
        <v>80</v>
      </c>
      <c r="E60" s="25"/>
      <c r="F60" s="36"/>
      <c r="G60" s="27"/>
    </row>
    <row r="61" customFormat="false" ht="19.5" hidden="false" customHeight="true" outlineLevel="0" collapsed="false">
      <c r="B61" s="23" t="s">
        <v>212</v>
      </c>
      <c r="C61" s="24"/>
      <c r="D61" s="25" t="n">
        <v>100</v>
      </c>
      <c r="E61" s="25"/>
      <c r="F61" s="36"/>
      <c r="G61" s="27"/>
    </row>
    <row r="62" customFormat="false" ht="19.5" hidden="false" customHeight="true" outlineLevel="0" collapsed="false">
      <c r="B62" s="23" t="s">
        <v>213</v>
      </c>
      <c r="C62" s="24"/>
      <c r="D62" s="25" t="n">
        <v>130</v>
      </c>
      <c r="E62" s="25"/>
      <c r="F62" s="36"/>
      <c r="G62" s="27"/>
    </row>
    <row r="63" customFormat="false" ht="19.5" hidden="false" customHeight="true" outlineLevel="0" collapsed="false">
      <c r="B63" s="23" t="s">
        <v>214</v>
      </c>
      <c r="C63" s="24"/>
      <c r="D63" s="25" t="n">
        <v>170</v>
      </c>
      <c r="E63" s="25"/>
      <c r="F63" s="36"/>
      <c r="G63" s="27"/>
    </row>
    <row r="65" customFormat="false" ht="21.75" hidden="false" customHeight="true" outlineLevel="0" collapsed="false">
      <c r="B65" s="28" t="s">
        <v>126</v>
      </c>
      <c r="C65" s="28"/>
      <c r="D65" s="28"/>
      <c r="E65" s="28"/>
      <c r="F65" s="28"/>
      <c r="G65" s="28"/>
    </row>
    <row r="66" customFormat="false" ht="15" hidden="false" customHeight="false" outlineLevel="0" collapsed="false">
      <c r="B66" s="29" t="s">
        <v>127</v>
      </c>
      <c r="C66" s="30"/>
      <c r="D66" s="25" t="n">
        <v>45</v>
      </c>
      <c r="E66" s="30"/>
      <c r="F66" s="30"/>
      <c r="G66" s="30"/>
    </row>
    <row r="67" customFormat="false" ht="15" hidden="false" customHeight="false" outlineLevel="0" collapsed="false">
      <c r="B67" s="29" t="s">
        <v>128</v>
      </c>
      <c r="C67" s="30"/>
      <c r="D67" s="25" t="n">
        <v>60</v>
      </c>
      <c r="E67" s="30"/>
      <c r="F67" s="30"/>
      <c r="G67" s="30"/>
    </row>
    <row r="68" customFormat="false" ht="15" hidden="false" customHeight="false" outlineLevel="0" collapsed="false">
      <c r="B68" s="29" t="s">
        <v>129</v>
      </c>
      <c r="C68" s="30"/>
      <c r="D68" s="25" t="n">
        <v>60</v>
      </c>
      <c r="E68" s="30"/>
      <c r="F68" s="30"/>
      <c r="G68" s="30"/>
    </row>
    <row r="69" customFormat="false" ht="15" hidden="false" customHeight="false" outlineLevel="0" collapsed="false">
      <c r="B69" s="29" t="s">
        <v>131</v>
      </c>
      <c r="C69" s="30"/>
      <c r="D69" s="25" t="n">
        <v>40</v>
      </c>
      <c r="E69" s="30"/>
      <c r="F69" s="30"/>
      <c r="G69" s="30"/>
    </row>
    <row r="70" customFormat="false" ht="15" hidden="false" customHeight="false" outlineLevel="0" collapsed="false">
      <c r="B70" s="29" t="s">
        <v>215</v>
      </c>
      <c r="C70" s="30"/>
      <c r="D70" s="25" t="n">
        <v>60</v>
      </c>
      <c r="E70" s="30"/>
      <c r="F70" s="30"/>
      <c r="G70" s="30"/>
    </row>
    <row r="71" customFormat="false" ht="15" hidden="false" customHeight="false" outlineLevel="0" collapsed="false">
      <c r="B71" s="29" t="s">
        <v>216</v>
      </c>
      <c r="C71" s="30"/>
      <c r="D71" s="25" t="n">
        <v>90</v>
      </c>
      <c r="E71" s="30"/>
      <c r="F71" s="30"/>
      <c r="G71" s="30"/>
    </row>
    <row r="72" customFormat="false" ht="15" hidden="false" customHeight="false" outlineLevel="0" collapsed="false">
      <c r="B72" s="29" t="s">
        <v>217</v>
      </c>
      <c r="C72" s="30"/>
      <c r="D72" s="25" t="n">
        <v>60</v>
      </c>
      <c r="E72" s="30"/>
      <c r="F72" s="30"/>
      <c r="G72" s="30"/>
    </row>
    <row r="74" customFormat="false" ht="15" hidden="false" customHeight="false" outlineLevel="0" collapsed="false">
      <c r="B74" s="31" t="s">
        <v>132</v>
      </c>
      <c r="C74" s="31"/>
      <c r="D74" s="31"/>
      <c r="E74" s="31"/>
      <c r="F74" s="31"/>
      <c r="G74" s="31"/>
    </row>
  </sheetData>
  <mergeCells count="19">
    <mergeCell ref="C1:G2"/>
    <mergeCell ref="B3:G3"/>
    <mergeCell ref="B7:G7"/>
    <mergeCell ref="B16:G16"/>
    <mergeCell ref="B20:G20"/>
    <mergeCell ref="B23:G23"/>
    <mergeCell ref="B31:G31"/>
    <mergeCell ref="B38:G38"/>
    <mergeCell ref="B44:G44"/>
    <mergeCell ref="B51:G51"/>
    <mergeCell ref="B57:G57"/>
    <mergeCell ref="D58:E58"/>
    <mergeCell ref="D59:E59"/>
    <mergeCell ref="D60:E60"/>
    <mergeCell ref="D61:E61"/>
    <mergeCell ref="D62:E62"/>
    <mergeCell ref="D63:E63"/>
    <mergeCell ref="B65:G65"/>
    <mergeCell ref="B74:G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3E26"/>
    <pageSetUpPr fitToPage="true"/>
  </sheetPr>
  <dimension ref="B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4"/>
  </cols>
  <sheetData>
    <row r="1" customFormat="false" ht="30" hidden="false" customHeight="true" outlineLevel="0" collapsed="false">
      <c r="B1" s="37"/>
      <c r="C1" s="38" t="s">
        <v>218</v>
      </c>
      <c r="D1" s="38"/>
      <c r="E1" s="38"/>
      <c r="F1" s="38"/>
      <c r="G1" s="38"/>
    </row>
    <row r="2" customFormat="false" ht="30" hidden="false" customHeight="true" outlineLevel="0" collapsed="false">
      <c r="B2" s="37"/>
      <c r="C2" s="38"/>
      <c r="D2" s="38"/>
      <c r="E2" s="38"/>
      <c r="F2" s="38"/>
      <c r="G2" s="38"/>
    </row>
    <row r="3" customFormat="false" ht="21.75" hidden="false" customHeight="true" outlineLevel="0" collapsed="false">
      <c r="B3" s="39" t="s">
        <v>219</v>
      </c>
      <c r="C3" s="39"/>
      <c r="D3" s="39"/>
      <c r="E3" s="39"/>
      <c r="F3" s="39"/>
      <c r="G3" s="39"/>
    </row>
    <row r="5" customFormat="false" ht="25.5" hidden="false" customHeight="true" outlineLevel="0" collapsed="false">
      <c r="B5" s="4" t="s">
        <v>220</v>
      </c>
      <c r="C5" s="5" t="s">
        <v>221</v>
      </c>
      <c r="D5" s="5" t="s">
        <v>29</v>
      </c>
      <c r="E5" s="5" t="s">
        <v>222</v>
      </c>
      <c r="F5" s="5" t="s">
        <v>30</v>
      </c>
      <c r="G5" s="5" t="s">
        <v>31</v>
      </c>
    </row>
    <row r="7" customFormat="false" ht="21.75" hidden="false" customHeight="true" outlineLevel="0" collapsed="false">
      <c r="B7" s="40" t="s">
        <v>223</v>
      </c>
      <c r="C7" s="40"/>
      <c r="D7" s="40"/>
      <c r="E7" s="40"/>
      <c r="F7" s="40"/>
      <c r="G7" s="40"/>
    </row>
    <row r="8" customFormat="false" ht="30" hidden="false" customHeight="true" outlineLevel="0" collapsed="false">
      <c r="B8" s="23" t="s">
        <v>224</v>
      </c>
      <c r="C8" s="41" t="s">
        <v>225</v>
      </c>
      <c r="D8" s="24" t="s">
        <v>226</v>
      </c>
      <c r="E8" s="25" t="n">
        <v>250</v>
      </c>
      <c r="F8" s="42"/>
      <c r="G8" s="27"/>
    </row>
    <row r="9" customFormat="false" ht="19.5" hidden="false" customHeight="true" outlineLevel="0" collapsed="false">
      <c r="B9" s="23" t="s">
        <v>227</v>
      </c>
      <c r="C9" s="41" t="s">
        <v>228</v>
      </c>
      <c r="D9" s="24" t="s">
        <v>229</v>
      </c>
      <c r="E9" s="25" t="n">
        <v>270</v>
      </c>
      <c r="F9" s="42"/>
      <c r="G9" s="27"/>
    </row>
    <row r="10" customFormat="false" ht="19.5" hidden="false" customHeight="true" outlineLevel="0" collapsed="false">
      <c r="B10" s="23" t="s">
        <v>230</v>
      </c>
      <c r="C10" s="41" t="s">
        <v>231</v>
      </c>
      <c r="D10" s="24" t="s">
        <v>232</v>
      </c>
      <c r="E10" s="25" t="n">
        <v>270</v>
      </c>
      <c r="F10" s="42"/>
      <c r="G10" s="27"/>
    </row>
    <row r="11" customFormat="false" ht="19.5" hidden="false" customHeight="true" outlineLevel="0" collapsed="false">
      <c r="B11" s="23" t="s">
        <v>233</v>
      </c>
      <c r="C11" s="41" t="s">
        <v>234</v>
      </c>
      <c r="D11" s="24" t="s">
        <v>235</v>
      </c>
      <c r="E11" s="25" t="n">
        <v>300</v>
      </c>
      <c r="F11" s="42"/>
      <c r="G11" s="27"/>
    </row>
    <row r="12" customFormat="false" ht="19.5" hidden="false" customHeight="true" outlineLevel="0" collapsed="false">
      <c r="B12" s="23" t="s">
        <v>236</v>
      </c>
      <c r="C12" s="41" t="s">
        <v>237</v>
      </c>
      <c r="D12" s="24" t="s">
        <v>238</v>
      </c>
      <c r="E12" s="25" t="n">
        <v>320</v>
      </c>
      <c r="F12" s="42" t="s">
        <v>30</v>
      </c>
      <c r="G12" s="27"/>
    </row>
    <row r="13" customFormat="false" ht="19.5" hidden="false" customHeight="true" outlineLevel="0" collapsed="false">
      <c r="B13" s="23" t="s">
        <v>239</v>
      </c>
      <c r="C13" s="41" t="s">
        <v>240</v>
      </c>
      <c r="D13" s="24" t="s">
        <v>241</v>
      </c>
      <c r="E13" s="25" t="n">
        <v>250</v>
      </c>
      <c r="F13" s="42"/>
      <c r="G13" s="27"/>
    </row>
    <row r="14" customFormat="false" ht="19.5" hidden="false" customHeight="true" outlineLevel="0" collapsed="false">
      <c r="B14" s="23" t="s">
        <v>242</v>
      </c>
      <c r="C14" s="41" t="s">
        <v>243</v>
      </c>
      <c r="D14" s="24" t="s">
        <v>244</v>
      </c>
      <c r="E14" s="25" t="n">
        <v>240</v>
      </c>
      <c r="F14" s="42"/>
      <c r="G14" s="27"/>
    </row>
    <row r="15" customFormat="false" ht="19.5" hidden="false" customHeight="true" outlineLevel="0" collapsed="false">
      <c r="B15" s="23" t="s">
        <v>245</v>
      </c>
      <c r="C15" s="41" t="s">
        <v>246</v>
      </c>
      <c r="D15" s="24" t="s">
        <v>247</v>
      </c>
      <c r="E15" s="25" t="n">
        <v>200</v>
      </c>
      <c r="F15" s="42" t="s">
        <v>30</v>
      </c>
      <c r="G15" s="27"/>
    </row>
    <row r="17" customFormat="false" ht="21.75" hidden="false" customHeight="true" outlineLevel="0" collapsed="false">
      <c r="B17" s="40" t="s">
        <v>248</v>
      </c>
      <c r="C17" s="40"/>
      <c r="D17" s="40"/>
      <c r="E17" s="40"/>
      <c r="F17" s="40"/>
      <c r="G17" s="40"/>
    </row>
    <row r="18" customFormat="false" ht="19.5" hidden="false" customHeight="true" outlineLevel="0" collapsed="false">
      <c r="B18" s="23" t="s">
        <v>249</v>
      </c>
      <c r="C18" s="41" t="s">
        <v>250</v>
      </c>
      <c r="D18" s="24" t="s">
        <v>251</v>
      </c>
      <c r="E18" s="25" t="n">
        <v>300</v>
      </c>
      <c r="F18" s="42" t="s">
        <v>30</v>
      </c>
      <c r="G18" s="27"/>
    </row>
    <row r="19" customFormat="false" ht="19.5" hidden="false" customHeight="true" outlineLevel="0" collapsed="false">
      <c r="B19" s="23" t="s">
        <v>252</v>
      </c>
      <c r="C19" s="41" t="s">
        <v>253</v>
      </c>
      <c r="D19" s="24" t="s">
        <v>254</v>
      </c>
      <c r="E19" s="25" t="n">
        <v>300</v>
      </c>
      <c r="F19" s="42"/>
      <c r="G19" s="27"/>
    </row>
    <row r="20" customFormat="false" ht="19.5" hidden="false" customHeight="true" outlineLevel="0" collapsed="false">
      <c r="B20" s="23" t="s">
        <v>255</v>
      </c>
      <c r="C20" s="41" t="s">
        <v>256</v>
      </c>
      <c r="D20" s="24" t="s">
        <v>257</v>
      </c>
      <c r="E20" s="25" t="n">
        <v>200</v>
      </c>
      <c r="F20" s="42"/>
      <c r="G20" s="27"/>
    </row>
    <row r="21" customFormat="false" ht="19.5" hidden="false" customHeight="true" outlineLevel="0" collapsed="false">
      <c r="B21" s="23" t="s">
        <v>258</v>
      </c>
      <c r="C21" s="41" t="s">
        <v>259</v>
      </c>
      <c r="D21" s="24" t="s">
        <v>260</v>
      </c>
      <c r="E21" s="25" t="n">
        <v>170</v>
      </c>
      <c r="F21" s="42"/>
      <c r="G21" s="27"/>
    </row>
    <row r="23" customFormat="false" ht="21.75" hidden="false" customHeight="true" outlineLevel="0" collapsed="false">
      <c r="B23" s="40" t="s">
        <v>261</v>
      </c>
      <c r="C23" s="40"/>
      <c r="D23" s="40"/>
      <c r="E23" s="40"/>
      <c r="F23" s="40"/>
      <c r="G23" s="40"/>
    </row>
    <row r="24" customFormat="false" ht="19.5" hidden="false" customHeight="true" outlineLevel="0" collapsed="false">
      <c r="B24" s="23" t="s">
        <v>262</v>
      </c>
      <c r="C24" s="41"/>
      <c r="D24" s="24" t="s">
        <v>263</v>
      </c>
      <c r="E24" s="25" t="n">
        <v>200</v>
      </c>
      <c r="F24" s="42"/>
      <c r="G24" s="27"/>
    </row>
    <row r="25" customFormat="false" ht="30" hidden="false" customHeight="true" outlineLevel="0" collapsed="false">
      <c r="B25" s="23" t="s">
        <v>264</v>
      </c>
      <c r="C25" s="41"/>
      <c r="D25" s="24" t="s">
        <v>265</v>
      </c>
      <c r="E25" s="25" t="n">
        <v>250</v>
      </c>
      <c r="F25" s="42"/>
      <c r="G25" s="27"/>
    </row>
    <row r="27" customFormat="false" ht="21.75" hidden="false" customHeight="true" outlineLevel="0" collapsed="false">
      <c r="B27" s="40" t="s">
        <v>266</v>
      </c>
      <c r="C27" s="40"/>
      <c r="D27" s="40"/>
      <c r="E27" s="40"/>
      <c r="F27" s="40"/>
      <c r="G27" s="40"/>
    </row>
    <row r="28" customFormat="false" ht="19.5" hidden="false" customHeight="true" outlineLevel="0" collapsed="false">
      <c r="B28" s="23" t="s">
        <v>267</v>
      </c>
      <c r="C28" s="41" t="s">
        <v>268</v>
      </c>
      <c r="D28" s="24" t="s">
        <v>269</v>
      </c>
      <c r="E28" s="43"/>
      <c r="F28" s="42"/>
      <c r="G28" s="27" t="s">
        <v>270</v>
      </c>
    </row>
    <row r="29" customFormat="false" ht="19.5" hidden="false" customHeight="true" outlineLevel="0" collapsed="false">
      <c r="B29" s="23" t="s">
        <v>271</v>
      </c>
      <c r="C29" s="41" t="s">
        <v>272</v>
      </c>
      <c r="D29" s="24" t="s">
        <v>273</v>
      </c>
      <c r="E29" s="43"/>
      <c r="F29" s="42"/>
      <c r="G29" s="27" t="s">
        <v>270</v>
      </c>
    </row>
    <row r="31" customFormat="false" ht="15" hidden="false" customHeight="false" outlineLevel="0" collapsed="false">
      <c r="B31" s="31" t="s">
        <v>132</v>
      </c>
      <c r="C31" s="31"/>
      <c r="D31" s="31"/>
      <c r="E31" s="31"/>
      <c r="F31" s="31"/>
      <c r="G31" s="31"/>
    </row>
  </sheetData>
  <mergeCells count="7">
    <mergeCell ref="C1:G2"/>
    <mergeCell ref="B3:G3"/>
    <mergeCell ref="B7:G7"/>
    <mergeCell ref="B17:G17"/>
    <mergeCell ref="B23:G23"/>
    <mergeCell ref="B27:G27"/>
    <mergeCell ref="B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210"/>
    <pageSetUpPr fitToPage="true"/>
  </sheetPr>
  <dimension ref="B1:M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44"/>
    <col collapsed="false" customWidth="true" hidden="false" outlineLevel="0" max="10" min="7" style="0" width="14"/>
    <col collapsed="false" customWidth="true" hidden="false" outlineLevel="0" max="11" min="11" style="0" width="11"/>
    <col collapsed="false" customWidth="true" hidden="false" outlineLevel="0" max="12" min="12" style="0" width="24"/>
    <col collapsed="false" customWidth="true" hidden="false" outlineLevel="0" max="13" min="13" style="0" width="15"/>
  </cols>
  <sheetData>
    <row r="1" customFormat="false" ht="30" hidden="false" customHeight="true" outlineLevel="0" collapsed="false">
      <c r="B1" s="1"/>
      <c r="C1" s="2" t="s">
        <v>274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0" hidden="false" customHeight="true" outlineLevel="0" collapsed="false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1.75" hidden="false" customHeight="true" outlineLevel="0" collapsed="false">
      <c r="B3" s="3" t="s">
        <v>275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25.5" hidden="false" customHeight="true" outlineLevel="0" collapsed="false">
      <c r="B5" s="4" t="s">
        <v>2</v>
      </c>
      <c r="C5" s="5" t="s">
        <v>276</v>
      </c>
      <c r="D5" s="5" t="s">
        <v>277</v>
      </c>
      <c r="E5" s="5" t="s">
        <v>278</v>
      </c>
      <c r="F5" s="5" t="s">
        <v>279</v>
      </c>
      <c r="G5" s="5" t="s">
        <v>280</v>
      </c>
      <c r="H5" s="5" t="s">
        <v>281</v>
      </c>
      <c r="I5" s="5" t="s">
        <v>282</v>
      </c>
      <c r="J5" s="5" t="s">
        <v>4</v>
      </c>
      <c r="K5" s="5" t="s">
        <v>117</v>
      </c>
      <c r="L5" s="5" t="s">
        <v>283</v>
      </c>
      <c r="M5" s="5" t="s">
        <v>284</v>
      </c>
    </row>
    <row r="6" customFormat="false" ht="15" hidden="false" customHeight="false" outlineLevel="0" collapsed="false">
      <c r="B6" s="44" t="s">
        <v>8</v>
      </c>
      <c r="C6" s="45" t="s">
        <v>32</v>
      </c>
      <c r="D6" s="46" t="s">
        <v>33</v>
      </c>
      <c r="E6" s="45"/>
      <c r="F6" s="45" t="s">
        <v>34</v>
      </c>
      <c r="G6" s="47" t="n">
        <f aca="false">IF(Sıcaklar!D8="","",Sıcaklar!D8)</f>
        <v>110</v>
      </c>
      <c r="H6" s="47" t="str">
        <f aca="false">IF(Sıcaklar!E8="","",Sıcaklar!E8)</f>
        <v/>
      </c>
      <c r="I6" s="47" t="str">
        <f aca="false">IF(Sıcaklar!F8="","",Sıcaklar!F8)</f>
        <v/>
      </c>
      <c r="J6" s="45"/>
      <c r="K6" s="45"/>
      <c r="L6" s="45"/>
      <c r="M6" s="48" t="n">
        <f aca="false">IF(COUNT(G6:I6)=0,"",MIN(G6:I6))</f>
        <v>110</v>
      </c>
    </row>
    <row r="7" customFormat="false" ht="15" hidden="false" customHeight="false" outlineLevel="0" collapsed="false">
      <c r="B7" s="44" t="s">
        <v>8</v>
      </c>
      <c r="C7" s="45" t="s">
        <v>32</v>
      </c>
      <c r="D7" s="46" t="s">
        <v>35</v>
      </c>
      <c r="E7" s="45"/>
      <c r="F7" s="45" t="s">
        <v>36</v>
      </c>
      <c r="G7" s="47" t="n">
        <f aca="false">IF(Sıcaklar!D9="","",Sıcaklar!D9)</f>
        <v>130</v>
      </c>
      <c r="H7" s="47" t="str">
        <f aca="false">IF(Sıcaklar!E9="","",Sıcaklar!E9)</f>
        <v/>
      </c>
      <c r="I7" s="47" t="str">
        <f aca="false">IF(Sıcaklar!F9="","",Sıcaklar!F9)</f>
        <v/>
      </c>
      <c r="J7" s="45"/>
      <c r="K7" s="45"/>
      <c r="L7" s="45"/>
      <c r="M7" s="48" t="n">
        <f aca="false">IF(COUNT(G7:I7)=0,"",MIN(G7:I7))</f>
        <v>130</v>
      </c>
    </row>
    <row r="8" customFormat="false" ht="15" hidden="false" customHeight="false" outlineLevel="0" collapsed="false">
      <c r="B8" s="44" t="s">
        <v>8</v>
      </c>
      <c r="C8" s="45" t="s">
        <v>32</v>
      </c>
      <c r="D8" s="46" t="s">
        <v>37</v>
      </c>
      <c r="E8" s="45"/>
      <c r="F8" s="45" t="s">
        <v>38</v>
      </c>
      <c r="G8" s="47" t="n">
        <f aca="false">IF(Sıcaklar!D10="","",Sıcaklar!D10)</f>
        <v>130</v>
      </c>
      <c r="H8" s="47" t="str">
        <f aca="false">IF(Sıcaklar!E10="","",Sıcaklar!E10)</f>
        <v/>
      </c>
      <c r="I8" s="47" t="str">
        <f aca="false">IF(Sıcaklar!F10="","",Sıcaklar!F10)</f>
        <v/>
      </c>
      <c r="J8" s="45"/>
      <c r="K8" s="45"/>
      <c r="L8" s="45"/>
      <c r="M8" s="48" t="n">
        <f aca="false">IF(COUNT(G8:I8)=0,"",MIN(G8:I8))</f>
        <v>130</v>
      </c>
    </row>
    <row r="9" customFormat="false" ht="15" hidden="false" customHeight="false" outlineLevel="0" collapsed="false">
      <c r="B9" s="44" t="s">
        <v>8</v>
      </c>
      <c r="C9" s="45" t="s">
        <v>32</v>
      </c>
      <c r="D9" s="46" t="s">
        <v>39</v>
      </c>
      <c r="E9" s="45"/>
      <c r="F9" s="45" t="s">
        <v>40</v>
      </c>
      <c r="G9" s="47" t="n">
        <f aca="false">IF(Sıcaklar!D11="","",Sıcaklar!D11)</f>
        <v>130</v>
      </c>
      <c r="H9" s="47" t="str">
        <f aca="false">IF(Sıcaklar!E11="","",Sıcaklar!E11)</f>
        <v/>
      </c>
      <c r="I9" s="47" t="str">
        <f aca="false">IF(Sıcaklar!F11="","",Sıcaklar!F11)</f>
        <v/>
      </c>
      <c r="J9" s="45"/>
      <c r="K9" s="45"/>
      <c r="L9" s="45"/>
      <c r="M9" s="48" t="n">
        <f aca="false">IF(COUNT(G9:I9)=0,"",MIN(G9:I9))</f>
        <v>130</v>
      </c>
    </row>
    <row r="10" customFormat="false" ht="15" hidden="false" customHeight="false" outlineLevel="0" collapsed="false">
      <c r="B10" s="44" t="s">
        <v>8</v>
      </c>
      <c r="C10" s="45" t="s">
        <v>32</v>
      </c>
      <c r="D10" s="46" t="s">
        <v>41</v>
      </c>
      <c r="E10" s="45"/>
      <c r="F10" s="45" t="s">
        <v>42</v>
      </c>
      <c r="G10" s="47" t="n">
        <f aca="false">IF(Sıcaklar!D12="","",Sıcaklar!D12)</f>
        <v>130</v>
      </c>
      <c r="H10" s="47" t="str">
        <f aca="false">IF(Sıcaklar!E12="","",Sıcaklar!E12)</f>
        <v/>
      </c>
      <c r="I10" s="47" t="str">
        <f aca="false">IF(Sıcaklar!F12="","",Sıcaklar!F12)</f>
        <v/>
      </c>
      <c r="J10" s="45"/>
      <c r="K10" s="45"/>
      <c r="L10" s="45"/>
      <c r="M10" s="48" t="n">
        <f aca="false">IF(COUNT(G10:I10)=0,"",MIN(G10:I10))</f>
        <v>130</v>
      </c>
    </row>
    <row r="11" customFormat="false" ht="15" hidden="false" customHeight="false" outlineLevel="0" collapsed="false">
      <c r="B11" s="44" t="s">
        <v>8</v>
      </c>
      <c r="C11" s="45" t="s">
        <v>32</v>
      </c>
      <c r="D11" s="46" t="s">
        <v>43</v>
      </c>
      <c r="E11" s="45"/>
      <c r="F11" s="45" t="s">
        <v>44</v>
      </c>
      <c r="G11" s="47" t="n">
        <f aca="false">IF(Sıcaklar!D13="","",Sıcaklar!D13)</f>
        <v>150</v>
      </c>
      <c r="H11" s="47" t="str">
        <f aca="false">IF(Sıcaklar!E13="","",Sıcaklar!E13)</f>
        <v/>
      </c>
      <c r="I11" s="47" t="str">
        <f aca="false">IF(Sıcaklar!F13="","",Sıcaklar!F13)</f>
        <v/>
      </c>
      <c r="J11" s="45"/>
      <c r="K11" s="45"/>
      <c r="L11" s="45"/>
      <c r="M11" s="48" t="n">
        <f aca="false">IF(COUNT(G11:I11)=0,"",MIN(G11:I11))</f>
        <v>150</v>
      </c>
    </row>
    <row r="12" customFormat="false" ht="15" hidden="false" customHeight="false" outlineLevel="0" collapsed="false">
      <c r="B12" s="44" t="s">
        <v>8</v>
      </c>
      <c r="C12" s="45" t="s">
        <v>32</v>
      </c>
      <c r="D12" s="46" t="s">
        <v>45</v>
      </c>
      <c r="E12" s="45"/>
      <c r="F12" s="45" t="s">
        <v>46</v>
      </c>
      <c r="G12" s="47" t="n">
        <f aca="false">IF(Sıcaklar!D14="","",Sıcaklar!D14)</f>
        <v>180</v>
      </c>
      <c r="H12" s="47" t="str">
        <f aca="false">IF(Sıcaklar!E14="","",Sıcaklar!E14)</f>
        <v/>
      </c>
      <c r="I12" s="47" t="str">
        <f aca="false">IF(Sıcaklar!F14="","",Sıcaklar!F14)</f>
        <v/>
      </c>
      <c r="J12" s="45"/>
      <c r="K12" s="45"/>
      <c r="L12" s="45"/>
      <c r="M12" s="48" t="n">
        <f aca="false">IF(COUNT(G12:I12)=0,"",MIN(G12:I12))</f>
        <v>180</v>
      </c>
    </row>
    <row r="13" customFormat="false" ht="15" hidden="false" customHeight="false" outlineLevel="0" collapsed="false">
      <c r="B13" s="44" t="s">
        <v>8</v>
      </c>
      <c r="C13" s="45" t="s">
        <v>47</v>
      </c>
      <c r="D13" s="46" t="s">
        <v>48</v>
      </c>
      <c r="E13" s="45"/>
      <c r="F13" s="45" t="s">
        <v>49</v>
      </c>
      <c r="G13" s="47" t="str">
        <f aca="false">IF(Sıcaklar!D17="","",Sıcaklar!D17)</f>
        <v/>
      </c>
      <c r="H13" s="47" t="n">
        <f aca="false">IF(Sıcaklar!E17="","",Sıcaklar!E17)</f>
        <v>150</v>
      </c>
      <c r="I13" s="47" t="n">
        <f aca="false">IF(Sıcaklar!F17="","",Sıcaklar!F17)</f>
        <v>170</v>
      </c>
      <c r="J13" s="45"/>
      <c r="K13" s="45"/>
      <c r="L13" s="45"/>
      <c r="M13" s="48" t="n">
        <f aca="false">IF(COUNT(G13:I13)=0,"",MIN(G13:I13))</f>
        <v>150</v>
      </c>
    </row>
    <row r="14" customFormat="false" ht="15" hidden="false" customHeight="false" outlineLevel="0" collapsed="false">
      <c r="B14" s="44" t="s">
        <v>8</v>
      </c>
      <c r="C14" s="45" t="s">
        <v>47</v>
      </c>
      <c r="D14" s="46" t="s">
        <v>50</v>
      </c>
      <c r="E14" s="45"/>
      <c r="F14" s="45" t="s">
        <v>51</v>
      </c>
      <c r="G14" s="47" t="str">
        <f aca="false">IF(Sıcaklar!D18="","",Sıcaklar!D18)</f>
        <v/>
      </c>
      <c r="H14" s="47" t="n">
        <f aca="false">IF(Sıcaklar!E18="","",Sıcaklar!E18)</f>
        <v>150</v>
      </c>
      <c r="I14" s="47" t="n">
        <f aca="false">IF(Sıcaklar!F18="","",Sıcaklar!F18)</f>
        <v>170</v>
      </c>
      <c r="J14" s="45"/>
      <c r="K14" s="45"/>
      <c r="L14" s="45"/>
      <c r="M14" s="48" t="n">
        <f aca="false">IF(COUNT(G14:I14)=0,"",MIN(G14:I14))</f>
        <v>150</v>
      </c>
    </row>
    <row r="15" customFormat="false" ht="15" hidden="false" customHeight="false" outlineLevel="0" collapsed="false">
      <c r="B15" s="44" t="s">
        <v>8</v>
      </c>
      <c r="C15" s="45" t="s">
        <v>47</v>
      </c>
      <c r="D15" s="46" t="s">
        <v>52</v>
      </c>
      <c r="E15" s="45"/>
      <c r="F15" s="45" t="s">
        <v>46</v>
      </c>
      <c r="G15" s="47" t="str">
        <f aca="false">IF(Sıcaklar!D19="","",Sıcaklar!D19)</f>
        <v/>
      </c>
      <c r="H15" s="47" t="n">
        <f aca="false">IF(Sıcaklar!E19="","",Sıcaklar!E19)</f>
        <v>200</v>
      </c>
      <c r="I15" s="47" t="n">
        <f aca="false">IF(Sıcaklar!F19="","",Sıcaklar!F19)</f>
        <v>220</v>
      </c>
      <c r="J15" s="45"/>
      <c r="K15" s="45"/>
      <c r="L15" s="45"/>
      <c r="M15" s="48" t="n">
        <f aca="false">IF(COUNT(G15:I15)=0,"",MIN(G15:I15))</f>
        <v>200</v>
      </c>
    </row>
    <row r="16" customFormat="false" ht="15" hidden="false" customHeight="false" outlineLevel="0" collapsed="false">
      <c r="B16" s="44" t="s">
        <v>8</v>
      </c>
      <c r="C16" s="45" t="s">
        <v>47</v>
      </c>
      <c r="D16" s="46" t="s">
        <v>53</v>
      </c>
      <c r="E16" s="45"/>
      <c r="F16" s="45" t="s">
        <v>54</v>
      </c>
      <c r="G16" s="47" t="str">
        <f aca="false">IF(Sıcaklar!D20="","",Sıcaklar!D20)</f>
        <v/>
      </c>
      <c r="H16" s="47" t="n">
        <f aca="false">IF(Sıcaklar!E20="","",Sıcaklar!E20)</f>
        <v>220</v>
      </c>
      <c r="I16" s="47" t="n">
        <f aca="false">IF(Sıcaklar!F20="","",Sıcaklar!F20)</f>
        <v>240</v>
      </c>
      <c r="J16" s="45"/>
      <c r="K16" s="45"/>
      <c r="L16" s="45"/>
      <c r="M16" s="48" t="n">
        <f aca="false">IF(COUNT(G16:I16)=0,"",MIN(G16:I16))</f>
        <v>220</v>
      </c>
    </row>
    <row r="17" customFormat="false" ht="15" hidden="false" customHeight="false" outlineLevel="0" collapsed="false">
      <c r="B17" s="44" t="s">
        <v>8</v>
      </c>
      <c r="C17" s="45" t="s">
        <v>47</v>
      </c>
      <c r="D17" s="46" t="s">
        <v>55</v>
      </c>
      <c r="E17" s="45"/>
      <c r="F17" s="45" t="s">
        <v>56</v>
      </c>
      <c r="G17" s="47" t="str">
        <f aca="false">IF(Sıcaklar!D21="","",Sıcaklar!D21)</f>
        <v/>
      </c>
      <c r="H17" s="47" t="n">
        <f aca="false">IF(Sıcaklar!E21="","",Sıcaklar!E21)</f>
        <v>210</v>
      </c>
      <c r="I17" s="47" t="n">
        <f aca="false">IF(Sıcaklar!F21="","",Sıcaklar!F21)</f>
        <v>230</v>
      </c>
      <c r="J17" s="45" t="s">
        <v>285</v>
      </c>
      <c r="K17" s="45"/>
      <c r="L17" s="45"/>
      <c r="M17" s="48" t="n">
        <f aca="false">IF(COUNT(G17:I17)=0,"",MIN(G17:I17))</f>
        <v>210</v>
      </c>
    </row>
    <row r="18" customFormat="false" ht="15" hidden="false" customHeight="false" outlineLevel="0" collapsed="false">
      <c r="B18" s="44" t="s">
        <v>8</v>
      </c>
      <c r="C18" s="45" t="s">
        <v>47</v>
      </c>
      <c r="D18" s="46" t="s">
        <v>57</v>
      </c>
      <c r="E18" s="45"/>
      <c r="F18" s="45" t="s">
        <v>58</v>
      </c>
      <c r="G18" s="47" t="str">
        <f aca="false">IF(Sıcaklar!D22="","",Sıcaklar!D22)</f>
        <v/>
      </c>
      <c r="H18" s="47" t="n">
        <f aca="false">IF(Sıcaklar!E22="","",Sıcaklar!E22)</f>
        <v>200</v>
      </c>
      <c r="I18" s="47" t="n">
        <f aca="false">IF(Sıcaklar!F22="","",Sıcaklar!F22)</f>
        <v>220</v>
      </c>
      <c r="J18" s="45"/>
      <c r="K18" s="45"/>
      <c r="L18" s="45"/>
      <c r="M18" s="48" t="n">
        <f aca="false">IF(COUNT(G18:I18)=0,"",MIN(G18:I18))</f>
        <v>200</v>
      </c>
    </row>
    <row r="19" customFormat="false" ht="15" hidden="false" customHeight="false" outlineLevel="0" collapsed="false">
      <c r="B19" s="44" t="s">
        <v>8</v>
      </c>
      <c r="C19" s="45" t="s">
        <v>47</v>
      </c>
      <c r="D19" s="46" t="s">
        <v>59</v>
      </c>
      <c r="E19" s="45"/>
      <c r="F19" s="45" t="s">
        <v>60</v>
      </c>
      <c r="G19" s="47" t="str">
        <f aca="false">IF(Sıcaklar!D23="","",Sıcaklar!D23)</f>
        <v/>
      </c>
      <c r="H19" s="47" t="n">
        <f aca="false">IF(Sıcaklar!E23="","",Sıcaklar!E23)</f>
        <v>150</v>
      </c>
      <c r="I19" s="47" t="n">
        <f aca="false">IF(Sıcaklar!F23="","",Sıcaklar!F23)</f>
        <v>170</v>
      </c>
      <c r="J19" s="45"/>
      <c r="K19" s="45"/>
      <c r="L19" s="45"/>
      <c r="M19" s="48" t="n">
        <f aca="false">IF(COUNT(G19:I19)=0,"",MIN(G19:I19))</f>
        <v>150</v>
      </c>
    </row>
    <row r="20" customFormat="false" ht="15" hidden="false" customHeight="false" outlineLevel="0" collapsed="false">
      <c r="B20" s="44" t="s">
        <v>8</v>
      </c>
      <c r="C20" s="45" t="s">
        <v>61</v>
      </c>
      <c r="D20" s="46" t="s">
        <v>62</v>
      </c>
      <c r="E20" s="45"/>
      <c r="F20" s="45" t="s">
        <v>63</v>
      </c>
      <c r="G20" s="47" t="str">
        <f aca="false">IF(Sıcaklar!D26="","",Sıcaklar!D26)</f>
        <v/>
      </c>
      <c r="H20" s="47" t="n">
        <f aca="false">IF(Sıcaklar!E26="","",Sıcaklar!E26)</f>
        <v>230</v>
      </c>
      <c r="I20" s="47" t="n">
        <f aca="false">IF(Sıcaklar!F26="","",Sıcaklar!F26)</f>
        <v>250</v>
      </c>
      <c r="J20" s="45"/>
      <c r="K20" s="45"/>
      <c r="L20" s="45"/>
      <c r="M20" s="48" t="n">
        <f aca="false">IF(COUNT(G20:I20)=0,"",MIN(G20:I20))</f>
        <v>230</v>
      </c>
    </row>
    <row r="21" customFormat="false" ht="15" hidden="false" customHeight="false" outlineLevel="0" collapsed="false">
      <c r="B21" s="44" t="s">
        <v>8</v>
      </c>
      <c r="C21" s="45" t="s">
        <v>61</v>
      </c>
      <c r="D21" s="46" t="s">
        <v>64</v>
      </c>
      <c r="E21" s="45"/>
      <c r="F21" s="45" t="s">
        <v>65</v>
      </c>
      <c r="G21" s="47" t="str">
        <f aca="false">IF(Sıcaklar!D27="","",Sıcaklar!D27)</f>
        <v/>
      </c>
      <c r="H21" s="47" t="n">
        <f aca="false">IF(Sıcaklar!E27="","",Sıcaklar!E27)</f>
        <v>230</v>
      </c>
      <c r="I21" s="47" t="n">
        <f aca="false">IF(Sıcaklar!F27="","",Sıcaklar!F27)</f>
        <v>250</v>
      </c>
      <c r="J21" s="45"/>
      <c r="K21" s="45"/>
      <c r="L21" s="45"/>
      <c r="M21" s="48" t="n">
        <f aca="false">IF(COUNT(G21:I21)=0,"",MIN(G21:I21))</f>
        <v>230</v>
      </c>
    </row>
    <row r="22" customFormat="false" ht="15" hidden="false" customHeight="false" outlineLevel="0" collapsed="false">
      <c r="B22" s="44" t="s">
        <v>8</v>
      </c>
      <c r="C22" s="45" t="s">
        <v>61</v>
      </c>
      <c r="D22" s="46" t="s">
        <v>66</v>
      </c>
      <c r="E22" s="45"/>
      <c r="F22" s="45" t="s">
        <v>67</v>
      </c>
      <c r="G22" s="47" t="str">
        <f aca="false">IF(Sıcaklar!D28="","",Sıcaklar!D28)</f>
        <v/>
      </c>
      <c r="H22" s="47" t="n">
        <f aca="false">IF(Sıcaklar!E28="","",Sıcaklar!E28)</f>
        <v>230</v>
      </c>
      <c r="I22" s="47" t="n">
        <f aca="false">IF(Sıcaklar!F28="","",Sıcaklar!F28)</f>
        <v>250</v>
      </c>
      <c r="J22" s="45" t="s">
        <v>285</v>
      </c>
      <c r="K22" s="45"/>
      <c r="L22" s="45"/>
      <c r="M22" s="48" t="n">
        <f aca="false">IF(COUNT(G22:I22)=0,"",MIN(G22:I22))</f>
        <v>230</v>
      </c>
    </row>
    <row r="23" customFormat="false" ht="15" hidden="false" customHeight="false" outlineLevel="0" collapsed="false">
      <c r="B23" s="44" t="s">
        <v>8</v>
      </c>
      <c r="C23" s="45" t="s">
        <v>61</v>
      </c>
      <c r="D23" s="46" t="s">
        <v>68</v>
      </c>
      <c r="E23" s="45"/>
      <c r="F23" s="45" t="s">
        <v>69</v>
      </c>
      <c r="G23" s="47" t="str">
        <f aca="false">IF(Sıcaklar!D29="","",Sıcaklar!D29)</f>
        <v/>
      </c>
      <c r="H23" s="47" t="n">
        <f aca="false">IF(Sıcaklar!E29="","",Sıcaklar!E29)</f>
        <v>240</v>
      </c>
      <c r="I23" s="47" t="n">
        <f aca="false">IF(Sıcaklar!F29="","",Sıcaklar!F29)</f>
        <v>260</v>
      </c>
      <c r="J23" s="45"/>
      <c r="K23" s="45"/>
      <c r="L23" s="45"/>
      <c r="M23" s="48" t="n">
        <f aca="false">IF(COUNT(G23:I23)=0,"",MIN(G23:I23))</f>
        <v>240</v>
      </c>
    </row>
    <row r="24" customFormat="false" ht="15" hidden="false" customHeight="false" outlineLevel="0" collapsed="false">
      <c r="B24" s="44" t="s">
        <v>8</v>
      </c>
      <c r="C24" s="45" t="s">
        <v>61</v>
      </c>
      <c r="D24" s="46" t="s">
        <v>70</v>
      </c>
      <c r="E24" s="45"/>
      <c r="F24" s="45" t="s">
        <v>71</v>
      </c>
      <c r="G24" s="47" t="str">
        <f aca="false">IF(Sıcaklar!D30="","",Sıcaklar!D30)</f>
        <v/>
      </c>
      <c r="H24" s="47" t="n">
        <f aca="false">IF(Sıcaklar!E30="","",Sıcaklar!E30)</f>
        <v>250</v>
      </c>
      <c r="I24" s="47" t="n">
        <f aca="false">IF(Sıcaklar!F30="","",Sıcaklar!F30)</f>
        <v>270</v>
      </c>
      <c r="J24" s="45" t="s">
        <v>285</v>
      </c>
      <c r="K24" s="45"/>
      <c r="L24" s="45"/>
      <c r="M24" s="48" t="n">
        <f aca="false">IF(COUNT(G24:I24)=0,"",MIN(G24:I24))</f>
        <v>250</v>
      </c>
    </row>
    <row r="25" customFormat="false" ht="15" hidden="false" customHeight="false" outlineLevel="0" collapsed="false">
      <c r="B25" s="44" t="s">
        <v>8</v>
      </c>
      <c r="C25" s="45" t="s">
        <v>61</v>
      </c>
      <c r="D25" s="46" t="s">
        <v>72</v>
      </c>
      <c r="E25" s="45"/>
      <c r="F25" s="45" t="s">
        <v>73</v>
      </c>
      <c r="G25" s="47" t="str">
        <f aca="false">IF(Sıcaklar!D31="","",Sıcaklar!D31)</f>
        <v/>
      </c>
      <c r="H25" s="47" t="n">
        <f aca="false">IF(Sıcaklar!E31="","",Sıcaklar!E31)</f>
        <v>270</v>
      </c>
      <c r="I25" s="47" t="n">
        <f aca="false">IF(Sıcaklar!F31="","",Sıcaklar!F31)</f>
        <v>300</v>
      </c>
      <c r="J25" s="45"/>
      <c r="K25" s="45"/>
      <c r="L25" s="45"/>
      <c r="M25" s="48" t="n">
        <f aca="false">IF(COUNT(G25:I25)=0,"",MIN(G25:I25))</f>
        <v>270</v>
      </c>
    </row>
    <row r="26" customFormat="false" ht="15" hidden="false" customHeight="false" outlineLevel="0" collapsed="false">
      <c r="B26" s="44" t="s">
        <v>8</v>
      </c>
      <c r="C26" s="45" t="s">
        <v>61</v>
      </c>
      <c r="D26" s="46" t="s">
        <v>74</v>
      </c>
      <c r="E26" s="45"/>
      <c r="F26" s="45" t="s">
        <v>75</v>
      </c>
      <c r="G26" s="47" t="str">
        <f aca="false">IF(Sıcaklar!D32="","",Sıcaklar!D32)</f>
        <v/>
      </c>
      <c r="H26" s="47" t="n">
        <f aca="false">IF(Sıcaklar!E32="","",Sıcaklar!E32)</f>
        <v>300</v>
      </c>
      <c r="I26" s="47" t="n">
        <f aca="false">IF(Sıcaklar!F32="","",Sıcaklar!F32)</f>
        <v>340</v>
      </c>
      <c r="J26" s="45"/>
      <c r="K26" s="45"/>
      <c r="L26" s="45"/>
      <c r="M26" s="48" t="n">
        <f aca="false">IF(COUNT(G26:I26)=0,"",MIN(G26:I26))</f>
        <v>300</v>
      </c>
    </row>
    <row r="27" customFormat="false" ht="15" hidden="false" customHeight="false" outlineLevel="0" collapsed="false">
      <c r="B27" s="44" t="s">
        <v>8</v>
      </c>
      <c r="C27" s="45" t="s">
        <v>76</v>
      </c>
      <c r="D27" s="46" t="s">
        <v>77</v>
      </c>
      <c r="E27" s="45"/>
      <c r="F27" s="45" t="s">
        <v>78</v>
      </c>
      <c r="G27" s="47" t="str">
        <f aca="false">IF(Sıcaklar!D35="","",Sıcaklar!D35)</f>
        <v/>
      </c>
      <c r="H27" s="47" t="n">
        <f aca="false">IF(Sıcaklar!E35="","",Sıcaklar!E35)</f>
        <v>250</v>
      </c>
      <c r="I27" s="47" t="n">
        <f aca="false">IF(Sıcaklar!F35="","",Sıcaklar!F35)</f>
        <v>270</v>
      </c>
      <c r="J27" s="45"/>
      <c r="K27" s="45"/>
      <c r="L27" s="45"/>
      <c r="M27" s="48" t="n">
        <f aca="false">IF(COUNT(G27:I27)=0,"",MIN(G27:I27))</f>
        <v>250</v>
      </c>
    </row>
    <row r="28" customFormat="false" ht="15" hidden="false" customHeight="false" outlineLevel="0" collapsed="false">
      <c r="B28" s="44" t="s">
        <v>8</v>
      </c>
      <c r="C28" s="45" t="s">
        <v>76</v>
      </c>
      <c r="D28" s="46" t="s">
        <v>79</v>
      </c>
      <c r="E28" s="45"/>
      <c r="F28" s="45" t="s">
        <v>80</v>
      </c>
      <c r="G28" s="47" t="str">
        <f aca="false">IF(Sıcaklar!D36="","",Sıcaklar!D36)</f>
        <v/>
      </c>
      <c r="H28" s="47" t="n">
        <f aca="false">IF(Sıcaklar!E36="","",Sıcaklar!E36)</f>
        <v>250</v>
      </c>
      <c r="I28" s="47" t="n">
        <f aca="false">IF(Sıcaklar!F36="","",Sıcaklar!F36)</f>
        <v>270</v>
      </c>
      <c r="J28" s="45"/>
      <c r="K28" s="45"/>
      <c r="L28" s="45"/>
      <c r="M28" s="48" t="n">
        <f aca="false">IF(COUNT(G28:I28)=0,"",MIN(G28:I28))</f>
        <v>250</v>
      </c>
    </row>
    <row r="29" customFormat="false" ht="15" hidden="false" customHeight="false" outlineLevel="0" collapsed="false">
      <c r="B29" s="44" t="s">
        <v>8</v>
      </c>
      <c r="C29" s="45" t="s">
        <v>76</v>
      </c>
      <c r="D29" s="46" t="s">
        <v>81</v>
      </c>
      <c r="E29" s="45"/>
      <c r="F29" s="45" t="s">
        <v>82</v>
      </c>
      <c r="G29" s="47" t="str">
        <f aca="false">IF(Sıcaklar!D37="","",Sıcaklar!D37)</f>
        <v/>
      </c>
      <c r="H29" s="47" t="n">
        <f aca="false">IF(Sıcaklar!E37="","",Sıcaklar!E37)</f>
        <v>230</v>
      </c>
      <c r="I29" s="47" t="n">
        <f aca="false">IF(Sıcaklar!F37="","",Sıcaklar!F37)</f>
        <v>250</v>
      </c>
      <c r="J29" s="45" t="s">
        <v>285</v>
      </c>
      <c r="K29" s="45"/>
      <c r="L29" s="45"/>
      <c r="M29" s="48" t="n">
        <f aca="false">IF(COUNT(G29:I29)=0,"",MIN(G29:I29))</f>
        <v>230</v>
      </c>
    </row>
    <row r="30" customFormat="false" ht="15" hidden="false" customHeight="false" outlineLevel="0" collapsed="false">
      <c r="B30" s="44" t="s">
        <v>8</v>
      </c>
      <c r="C30" s="45" t="s">
        <v>76</v>
      </c>
      <c r="D30" s="46" t="s">
        <v>83</v>
      </c>
      <c r="E30" s="45"/>
      <c r="F30" s="45" t="s">
        <v>84</v>
      </c>
      <c r="G30" s="47" t="str">
        <f aca="false">IF(Sıcaklar!D38="","",Sıcaklar!D38)</f>
        <v/>
      </c>
      <c r="H30" s="47" t="n">
        <f aca="false">IF(Sıcaklar!E38="","",Sıcaklar!E38)</f>
        <v>230</v>
      </c>
      <c r="I30" s="47" t="n">
        <f aca="false">IF(Sıcaklar!F38="","",Sıcaklar!F38)</f>
        <v>250</v>
      </c>
      <c r="J30" s="45"/>
      <c r="K30" s="45"/>
      <c r="L30" s="45"/>
      <c r="M30" s="48" t="n">
        <f aca="false">IF(COUNT(G30:I30)=0,"",MIN(G30:I30))</f>
        <v>230</v>
      </c>
    </row>
    <row r="31" customFormat="false" ht="15" hidden="false" customHeight="false" outlineLevel="0" collapsed="false">
      <c r="B31" s="44" t="s">
        <v>8</v>
      </c>
      <c r="C31" s="45" t="s">
        <v>76</v>
      </c>
      <c r="D31" s="46" t="s">
        <v>85</v>
      </c>
      <c r="E31" s="45"/>
      <c r="F31" s="45" t="s">
        <v>86</v>
      </c>
      <c r="G31" s="47" t="str">
        <f aca="false">IF(Sıcaklar!D39="","",Sıcaklar!D39)</f>
        <v/>
      </c>
      <c r="H31" s="47" t="n">
        <f aca="false">IF(Sıcaklar!E39="","",Sıcaklar!E39)</f>
        <v>260</v>
      </c>
      <c r="I31" s="47" t="n">
        <f aca="false">IF(Sıcaklar!F39="","",Sıcaklar!F39)</f>
        <v>280</v>
      </c>
      <c r="J31" s="45"/>
      <c r="K31" s="45"/>
      <c r="L31" s="45"/>
      <c r="M31" s="48" t="n">
        <f aca="false">IF(COUNT(G31:I31)=0,"",MIN(G31:I31))</f>
        <v>260</v>
      </c>
    </row>
    <row r="32" customFormat="false" ht="15" hidden="false" customHeight="false" outlineLevel="0" collapsed="false">
      <c r="B32" s="44" t="s">
        <v>8</v>
      </c>
      <c r="C32" s="45" t="s">
        <v>87</v>
      </c>
      <c r="D32" s="46" t="s">
        <v>88</v>
      </c>
      <c r="E32" s="45"/>
      <c r="F32" s="45" t="s">
        <v>89</v>
      </c>
      <c r="G32" s="47" t="n">
        <f aca="false">IF(Sıcaklar!D42="","",Sıcaklar!D42)</f>
        <v>145</v>
      </c>
      <c r="H32" s="47" t="str">
        <f aca="false">IF(Sıcaklar!E42="","",Sıcaklar!E42)</f>
        <v/>
      </c>
      <c r="I32" s="47" t="str">
        <f aca="false">IF(Sıcaklar!F42="","",Sıcaklar!F42)</f>
        <v/>
      </c>
      <c r="J32" s="45"/>
      <c r="K32" s="45"/>
      <c r="L32" s="45"/>
      <c r="M32" s="48" t="n">
        <f aca="false">IF(COUNT(G32:I32)=0,"",MIN(G32:I32))</f>
        <v>145</v>
      </c>
    </row>
    <row r="33" customFormat="false" ht="15" hidden="false" customHeight="false" outlineLevel="0" collapsed="false">
      <c r="B33" s="44" t="s">
        <v>8</v>
      </c>
      <c r="C33" s="45" t="s">
        <v>87</v>
      </c>
      <c r="D33" s="46" t="s">
        <v>90</v>
      </c>
      <c r="E33" s="45"/>
      <c r="F33" s="45" t="s">
        <v>91</v>
      </c>
      <c r="G33" s="47" t="n">
        <f aca="false">IF(Sıcaklar!D43="","",Sıcaklar!D43)</f>
        <v>160</v>
      </c>
      <c r="H33" s="47" t="str">
        <f aca="false">IF(Sıcaklar!E43="","",Sıcaklar!E43)</f>
        <v/>
      </c>
      <c r="I33" s="47" t="str">
        <f aca="false">IF(Sıcaklar!F43="","",Sıcaklar!F43)</f>
        <v/>
      </c>
      <c r="J33" s="45"/>
      <c r="K33" s="45"/>
      <c r="L33" s="45"/>
      <c r="M33" s="48" t="n">
        <f aca="false">IF(COUNT(G33:I33)=0,"",MIN(G33:I33))</f>
        <v>160</v>
      </c>
    </row>
    <row r="34" customFormat="false" ht="15" hidden="false" customHeight="false" outlineLevel="0" collapsed="false">
      <c r="B34" s="44" t="s">
        <v>8</v>
      </c>
      <c r="C34" s="45" t="s">
        <v>87</v>
      </c>
      <c r="D34" s="46" t="s">
        <v>92</v>
      </c>
      <c r="E34" s="45"/>
      <c r="F34" s="45" t="s">
        <v>93</v>
      </c>
      <c r="G34" s="47" t="n">
        <f aca="false">IF(Sıcaklar!D44="","",Sıcaklar!D44)</f>
        <v>150</v>
      </c>
      <c r="H34" s="47" t="str">
        <f aca="false">IF(Sıcaklar!E44="","",Sıcaklar!E44)</f>
        <v/>
      </c>
      <c r="I34" s="47" t="str">
        <f aca="false">IF(Sıcaklar!F44="","",Sıcaklar!F44)</f>
        <v/>
      </c>
      <c r="J34" s="45" t="s">
        <v>285</v>
      </c>
      <c r="K34" s="45"/>
      <c r="L34" s="45"/>
      <c r="M34" s="48" t="n">
        <f aca="false">IF(COUNT(G34:I34)=0,"",MIN(G34:I34))</f>
        <v>150</v>
      </c>
    </row>
    <row r="35" customFormat="false" ht="15" hidden="false" customHeight="false" outlineLevel="0" collapsed="false">
      <c r="B35" s="44" t="s">
        <v>8</v>
      </c>
      <c r="C35" s="45" t="s">
        <v>87</v>
      </c>
      <c r="D35" s="46" t="s">
        <v>94</v>
      </c>
      <c r="E35" s="45"/>
      <c r="F35" s="45" t="s">
        <v>95</v>
      </c>
      <c r="G35" s="47" t="n">
        <f aca="false">IF(Sıcaklar!D45="","",Sıcaklar!D45)</f>
        <v>165</v>
      </c>
      <c r="H35" s="47" t="str">
        <f aca="false">IF(Sıcaklar!E45="","",Sıcaklar!E45)</f>
        <v/>
      </c>
      <c r="I35" s="47" t="str">
        <f aca="false">IF(Sıcaklar!F45="","",Sıcaklar!F45)</f>
        <v/>
      </c>
      <c r="J35" s="45"/>
      <c r="K35" s="45"/>
      <c r="L35" s="45"/>
      <c r="M35" s="48" t="n">
        <f aca="false">IF(COUNT(G35:I35)=0,"",MIN(G35:I35))</f>
        <v>165</v>
      </c>
    </row>
    <row r="36" customFormat="false" ht="15" hidden="false" customHeight="false" outlineLevel="0" collapsed="false">
      <c r="B36" s="44" t="s">
        <v>8</v>
      </c>
      <c r="C36" s="45" t="s">
        <v>96</v>
      </c>
      <c r="D36" s="46" t="s">
        <v>97</v>
      </c>
      <c r="E36" s="45"/>
      <c r="F36" s="45"/>
      <c r="G36" s="47" t="n">
        <f aca="false">IF(Sıcaklar!D48="","",Sıcaklar!D48)</f>
        <v>70</v>
      </c>
      <c r="H36" s="47" t="str">
        <f aca="false">IF(Sıcaklar!E48="","",Sıcaklar!E48)</f>
        <v/>
      </c>
      <c r="I36" s="47" t="str">
        <f aca="false">IF(Sıcaklar!F48="","",Sıcaklar!F48)</f>
        <v/>
      </c>
      <c r="J36" s="45"/>
      <c r="K36" s="45"/>
      <c r="L36" s="45"/>
      <c r="M36" s="48" t="n">
        <f aca="false">IF(COUNT(G36:I36)=0,"",MIN(G36:I36))</f>
        <v>70</v>
      </c>
    </row>
    <row r="37" customFormat="false" ht="15" hidden="false" customHeight="false" outlineLevel="0" collapsed="false">
      <c r="B37" s="44" t="s">
        <v>8</v>
      </c>
      <c r="C37" s="45" t="s">
        <v>96</v>
      </c>
      <c r="D37" s="46" t="s">
        <v>98</v>
      </c>
      <c r="E37" s="45"/>
      <c r="F37" s="45"/>
      <c r="G37" s="47" t="n">
        <f aca="false">IF(Sıcaklar!D49="","",Sıcaklar!D49)</f>
        <v>90</v>
      </c>
      <c r="H37" s="47" t="str">
        <f aca="false">IF(Sıcaklar!E49="","",Sıcaklar!E49)</f>
        <v/>
      </c>
      <c r="I37" s="47" t="str">
        <f aca="false">IF(Sıcaklar!F49="","",Sıcaklar!F49)</f>
        <v/>
      </c>
      <c r="J37" s="45"/>
      <c r="K37" s="45"/>
      <c r="L37" s="45"/>
      <c r="M37" s="48" t="n">
        <f aca="false">IF(COUNT(G37:I37)=0,"",MIN(G37:I37))</f>
        <v>90</v>
      </c>
    </row>
    <row r="38" customFormat="false" ht="15" hidden="false" customHeight="false" outlineLevel="0" collapsed="false">
      <c r="B38" s="44" t="s">
        <v>8</v>
      </c>
      <c r="C38" s="45" t="s">
        <v>96</v>
      </c>
      <c r="D38" s="46" t="s">
        <v>99</v>
      </c>
      <c r="E38" s="45"/>
      <c r="F38" s="45" t="s">
        <v>100</v>
      </c>
      <c r="G38" s="47" t="str">
        <f aca="false">IF(Sıcaklar!D50="","",Sıcaklar!D50)</f>
        <v/>
      </c>
      <c r="H38" s="47" t="n">
        <f aca="false">IF(Sıcaklar!E50="","",Sıcaklar!E50)</f>
        <v>100</v>
      </c>
      <c r="I38" s="47" t="n">
        <f aca="false">IF(Sıcaklar!F50="","",Sıcaklar!F50)</f>
        <v>110</v>
      </c>
      <c r="J38" s="45"/>
      <c r="K38" s="45"/>
      <c r="L38" s="45" t="s">
        <v>101</v>
      </c>
      <c r="M38" s="48" t="n">
        <f aca="false">IF(COUNT(G38:I38)=0,"",MIN(G38:I38))</f>
        <v>100</v>
      </c>
    </row>
    <row r="39" customFormat="false" ht="15" hidden="false" customHeight="false" outlineLevel="0" collapsed="false">
      <c r="B39" s="44" t="s">
        <v>8</v>
      </c>
      <c r="C39" s="45" t="s">
        <v>96</v>
      </c>
      <c r="D39" s="46" t="s">
        <v>102</v>
      </c>
      <c r="E39" s="45"/>
      <c r="F39" s="45" t="s">
        <v>103</v>
      </c>
      <c r="G39" s="47" t="n">
        <f aca="false">IF(Sıcaklar!D51="","",Sıcaklar!D51)</f>
        <v>130</v>
      </c>
      <c r="H39" s="47" t="str">
        <f aca="false">IF(Sıcaklar!E51="","",Sıcaklar!E51)</f>
        <v/>
      </c>
      <c r="I39" s="47" t="str">
        <f aca="false">IF(Sıcaklar!F51="","",Sıcaklar!F51)</f>
        <v/>
      </c>
      <c r="J39" s="45"/>
      <c r="K39" s="45"/>
      <c r="L39" s="45"/>
      <c r="M39" s="48" t="n">
        <f aca="false">IF(COUNT(G39:I39)=0,"",MIN(G39:I39))</f>
        <v>130</v>
      </c>
    </row>
    <row r="40" customFormat="false" ht="15" hidden="false" customHeight="false" outlineLevel="0" collapsed="false">
      <c r="B40" s="44" t="s">
        <v>8</v>
      </c>
      <c r="C40" s="45" t="s">
        <v>96</v>
      </c>
      <c r="D40" s="46" t="s">
        <v>104</v>
      </c>
      <c r="E40" s="45"/>
      <c r="F40" s="45" t="s">
        <v>105</v>
      </c>
      <c r="G40" s="47" t="n">
        <f aca="false">IF(Sıcaklar!D52="","",Sıcaklar!D52)</f>
        <v>130</v>
      </c>
      <c r="H40" s="47" t="str">
        <f aca="false">IF(Sıcaklar!E52="","",Sıcaklar!E52)</f>
        <v/>
      </c>
      <c r="I40" s="47" t="str">
        <f aca="false">IF(Sıcaklar!F52="","",Sıcaklar!F52)</f>
        <v/>
      </c>
      <c r="J40" s="45"/>
      <c r="K40" s="45"/>
      <c r="L40" s="45"/>
      <c r="M40" s="48" t="n">
        <f aca="false">IF(COUNT(G40:I40)=0,"",MIN(G40:I40))</f>
        <v>130</v>
      </c>
    </row>
    <row r="41" customFormat="false" ht="15" hidden="false" customHeight="false" outlineLevel="0" collapsed="false">
      <c r="B41" s="44" t="s">
        <v>8</v>
      </c>
      <c r="C41" s="45" t="s">
        <v>96</v>
      </c>
      <c r="D41" s="46" t="s">
        <v>106</v>
      </c>
      <c r="E41" s="45"/>
      <c r="F41" s="45" t="s">
        <v>107</v>
      </c>
      <c r="G41" s="47" t="n">
        <f aca="false">IF(Sıcaklar!D53="","",Sıcaklar!D53)</f>
        <v>130</v>
      </c>
      <c r="H41" s="47" t="str">
        <f aca="false">IF(Sıcaklar!E53="","",Sıcaklar!E53)</f>
        <v/>
      </c>
      <c r="I41" s="47" t="str">
        <f aca="false">IF(Sıcaklar!F53="","",Sıcaklar!F53)</f>
        <v/>
      </c>
      <c r="J41" s="45"/>
      <c r="K41" s="45"/>
      <c r="L41" s="45"/>
      <c r="M41" s="48" t="n">
        <f aca="false">IF(COUNT(G41:I41)=0,"",MIN(G41:I41))</f>
        <v>130</v>
      </c>
    </row>
    <row r="42" customFormat="false" ht="15" hidden="false" customHeight="false" outlineLevel="0" collapsed="false">
      <c r="B42" s="44" t="s">
        <v>8</v>
      </c>
      <c r="C42" s="45" t="s">
        <v>96</v>
      </c>
      <c r="D42" s="46" t="s">
        <v>108</v>
      </c>
      <c r="E42" s="45"/>
      <c r="F42" s="45" t="s">
        <v>109</v>
      </c>
      <c r="G42" s="47" t="n">
        <f aca="false">IF(Sıcaklar!D54="","",Sıcaklar!D54)</f>
        <v>130</v>
      </c>
      <c r="H42" s="47" t="str">
        <f aca="false">IF(Sıcaklar!E54="","",Sıcaklar!E54)</f>
        <v/>
      </c>
      <c r="I42" s="47" t="str">
        <f aca="false">IF(Sıcaklar!F54="","",Sıcaklar!F54)</f>
        <v/>
      </c>
      <c r="J42" s="45"/>
      <c r="K42" s="45"/>
      <c r="L42" s="45"/>
      <c r="M42" s="48" t="n">
        <f aca="false">IF(COUNT(G42:I42)=0,"",MIN(G42:I42))</f>
        <v>130</v>
      </c>
    </row>
    <row r="43" customFormat="false" ht="15" hidden="false" customHeight="false" outlineLevel="0" collapsed="false">
      <c r="B43" s="44" t="s">
        <v>8</v>
      </c>
      <c r="C43" s="45" t="s">
        <v>96</v>
      </c>
      <c r="D43" s="46" t="s">
        <v>110</v>
      </c>
      <c r="E43" s="45"/>
      <c r="F43" s="45" t="s">
        <v>111</v>
      </c>
      <c r="G43" s="47" t="n">
        <f aca="false">IF(Sıcaklar!D55="","",Sıcaklar!D55)</f>
        <v>130</v>
      </c>
      <c r="H43" s="47" t="str">
        <f aca="false">IF(Sıcaklar!E55="","",Sıcaklar!E55)</f>
        <v/>
      </c>
      <c r="I43" s="47" t="str">
        <f aca="false">IF(Sıcaklar!F55="","",Sıcaklar!F55)</f>
        <v/>
      </c>
      <c r="J43" s="45"/>
      <c r="K43" s="45"/>
      <c r="L43" s="45"/>
      <c r="M43" s="48" t="n">
        <f aca="false">IF(COUNT(G43:I43)=0,"",MIN(G43:I43))</f>
        <v>130</v>
      </c>
    </row>
    <row r="44" customFormat="false" ht="15" hidden="false" customHeight="false" outlineLevel="0" collapsed="false">
      <c r="B44" s="44" t="s">
        <v>8</v>
      </c>
      <c r="C44" s="45" t="s">
        <v>96</v>
      </c>
      <c r="D44" s="46" t="s">
        <v>112</v>
      </c>
      <c r="E44" s="45"/>
      <c r="F44" s="45" t="s">
        <v>113</v>
      </c>
      <c r="G44" s="47" t="n">
        <f aca="false">IF(Sıcaklar!D56="","",Sıcaklar!D56)</f>
        <v>130</v>
      </c>
      <c r="H44" s="47" t="str">
        <f aca="false">IF(Sıcaklar!E56="","",Sıcaklar!E56)</f>
        <v/>
      </c>
      <c r="I44" s="47" t="str">
        <f aca="false">IF(Sıcaklar!F56="","",Sıcaklar!F56)</f>
        <v/>
      </c>
      <c r="J44" s="45" t="s">
        <v>285</v>
      </c>
      <c r="K44" s="45"/>
      <c r="L44" s="45"/>
      <c r="M44" s="48" t="n">
        <f aca="false">IF(COUNT(G44:I44)=0,"",MIN(G44:I44))</f>
        <v>130</v>
      </c>
    </row>
    <row r="45" customFormat="false" ht="15" hidden="false" customHeight="false" outlineLevel="0" collapsed="false">
      <c r="B45" s="44" t="s">
        <v>8</v>
      </c>
      <c r="C45" s="45" t="s">
        <v>114</v>
      </c>
      <c r="D45" s="46" t="s">
        <v>115</v>
      </c>
      <c r="E45" s="45"/>
      <c r="F45" s="45" t="s">
        <v>116</v>
      </c>
      <c r="G45" s="47" t="str">
        <f aca="false">IF(Sıcaklar!D59="","",Sıcaklar!D59)</f>
        <v/>
      </c>
      <c r="H45" s="47" t="n">
        <f aca="false">IF(Sıcaklar!E59="","",Sıcaklar!E59)</f>
        <v>290</v>
      </c>
      <c r="I45" s="47" t="n">
        <f aca="false">IF(Sıcaklar!F59="","",Sıcaklar!F59)</f>
        <v>320</v>
      </c>
      <c r="J45" s="45" t="s">
        <v>285</v>
      </c>
      <c r="K45" s="45" t="s">
        <v>285</v>
      </c>
      <c r="L45" s="45"/>
      <c r="M45" s="48" t="n">
        <f aca="false">IF(COUNT(G45:I45)=0,"",MIN(G45:I45))</f>
        <v>290</v>
      </c>
    </row>
    <row r="46" customFormat="false" ht="15" hidden="false" customHeight="false" outlineLevel="0" collapsed="false">
      <c r="B46" s="44" t="s">
        <v>8</v>
      </c>
      <c r="C46" s="45" t="s">
        <v>114</v>
      </c>
      <c r="D46" s="46" t="s">
        <v>118</v>
      </c>
      <c r="E46" s="45"/>
      <c r="F46" s="45" t="s">
        <v>119</v>
      </c>
      <c r="G46" s="47" t="str">
        <f aca="false">IF(Sıcaklar!D60="","",Sıcaklar!D60)</f>
        <v/>
      </c>
      <c r="H46" s="47" t="n">
        <f aca="false">IF(Sıcaklar!E60="","",Sıcaklar!E60)</f>
        <v>300</v>
      </c>
      <c r="I46" s="47" t="n">
        <f aca="false">IF(Sıcaklar!F60="","",Sıcaklar!F60)</f>
        <v>340</v>
      </c>
      <c r="J46" s="45"/>
      <c r="K46" s="45" t="s">
        <v>285</v>
      </c>
      <c r="L46" s="45"/>
      <c r="M46" s="48" t="n">
        <f aca="false">IF(COUNT(G46:I46)=0,"",MIN(G46:I46))</f>
        <v>300</v>
      </c>
    </row>
    <row r="47" customFormat="false" ht="15" hidden="false" customHeight="false" outlineLevel="0" collapsed="false">
      <c r="B47" s="44" t="s">
        <v>8</v>
      </c>
      <c r="C47" s="45" t="s">
        <v>114</v>
      </c>
      <c r="D47" s="46" t="s">
        <v>120</v>
      </c>
      <c r="E47" s="45"/>
      <c r="F47" s="45" t="s">
        <v>121</v>
      </c>
      <c r="G47" s="47" t="str">
        <f aca="false">IF(Sıcaklar!D61="","",Sıcaklar!D61)</f>
        <v/>
      </c>
      <c r="H47" s="47" t="n">
        <f aca="false">IF(Sıcaklar!E61="","",Sıcaklar!E61)</f>
        <v>290</v>
      </c>
      <c r="I47" s="47" t="n">
        <f aca="false">IF(Sıcaklar!F61="","",Sıcaklar!F61)</f>
        <v>320</v>
      </c>
      <c r="J47" s="45" t="s">
        <v>285</v>
      </c>
      <c r="K47" s="45" t="s">
        <v>285</v>
      </c>
      <c r="L47" s="45"/>
      <c r="M47" s="48" t="n">
        <f aca="false">IF(COUNT(G47:I47)=0,"",MIN(G47:I47))</f>
        <v>290</v>
      </c>
    </row>
    <row r="48" customFormat="false" ht="15" hidden="false" customHeight="false" outlineLevel="0" collapsed="false">
      <c r="B48" s="44" t="s">
        <v>8</v>
      </c>
      <c r="C48" s="45" t="s">
        <v>114</v>
      </c>
      <c r="D48" s="46" t="s">
        <v>122</v>
      </c>
      <c r="E48" s="45"/>
      <c r="F48" s="45" t="s">
        <v>123</v>
      </c>
      <c r="G48" s="47" t="str">
        <f aca="false">IF(Sıcaklar!D62="","",Sıcaklar!D62)</f>
        <v/>
      </c>
      <c r="H48" s="47" t="n">
        <f aca="false">IF(Sıcaklar!E62="","",Sıcaklar!E62)</f>
        <v>275</v>
      </c>
      <c r="I48" s="47" t="n">
        <f aca="false">IF(Sıcaklar!F62="","",Sıcaklar!F62)</f>
        <v>305</v>
      </c>
      <c r="J48" s="45" t="s">
        <v>285</v>
      </c>
      <c r="K48" s="45" t="s">
        <v>285</v>
      </c>
      <c r="L48" s="45"/>
      <c r="M48" s="48" t="n">
        <f aca="false">IF(COUNT(G48:I48)=0,"",MIN(G48:I48))</f>
        <v>275</v>
      </c>
    </row>
    <row r="49" customFormat="false" ht="15" hidden="false" customHeight="false" outlineLevel="0" collapsed="false">
      <c r="B49" s="44" t="s">
        <v>8</v>
      </c>
      <c r="C49" s="45" t="s">
        <v>114</v>
      </c>
      <c r="D49" s="46" t="s">
        <v>124</v>
      </c>
      <c r="E49" s="45"/>
      <c r="F49" s="45" t="s">
        <v>125</v>
      </c>
      <c r="G49" s="47" t="str">
        <f aca="false">IF(Sıcaklar!D63="","",Sıcaklar!D63)</f>
        <v/>
      </c>
      <c r="H49" s="47" t="n">
        <f aca="false">IF(Sıcaklar!E63="","",Sıcaklar!E63)</f>
        <v>290</v>
      </c>
      <c r="I49" s="47" t="n">
        <f aca="false">IF(Sıcaklar!F63="","",Sıcaklar!F63)</f>
        <v>320</v>
      </c>
      <c r="J49" s="45"/>
      <c r="K49" s="45" t="s">
        <v>285</v>
      </c>
      <c r="L49" s="45"/>
      <c r="M49" s="48" t="n">
        <f aca="false">IF(COUNT(G49:I49)=0,"",MIN(G49:I49))</f>
        <v>290</v>
      </c>
    </row>
    <row r="50" customFormat="false" ht="15" hidden="false" customHeight="false" outlineLevel="0" collapsed="false">
      <c r="B50" s="44" t="s">
        <v>9</v>
      </c>
      <c r="C50" s="45" t="s">
        <v>135</v>
      </c>
      <c r="D50" s="46" t="s">
        <v>136</v>
      </c>
      <c r="E50" s="45"/>
      <c r="F50" s="45" t="s">
        <v>137</v>
      </c>
      <c r="G50" s="47"/>
      <c r="H50" s="47" t="n">
        <f aca="false">IF(Soğuklar!D8="","",Soğuklar!D8)</f>
        <v>170</v>
      </c>
      <c r="I50" s="47" t="n">
        <f aca="false">IF(Soğuklar!E8="","",Soğuklar!E8)</f>
        <v>190</v>
      </c>
      <c r="J50" s="45"/>
      <c r="K50" s="45"/>
      <c r="L50" s="45"/>
      <c r="M50" s="48" t="n">
        <f aca="false">IF(COUNT(G50:I50)=0,"",MIN(G50:I50))</f>
        <v>170</v>
      </c>
    </row>
    <row r="51" customFormat="false" ht="15" hidden="false" customHeight="false" outlineLevel="0" collapsed="false">
      <c r="B51" s="44" t="s">
        <v>9</v>
      </c>
      <c r="C51" s="45" t="s">
        <v>135</v>
      </c>
      <c r="D51" s="46" t="s">
        <v>138</v>
      </c>
      <c r="E51" s="45"/>
      <c r="F51" s="45" t="s">
        <v>139</v>
      </c>
      <c r="G51" s="47"/>
      <c r="H51" s="47" t="n">
        <f aca="false">IF(Soğuklar!D9="","",Soğuklar!D9)</f>
        <v>220</v>
      </c>
      <c r="I51" s="47" t="n">
        <f aca="false">IF(Soğuklar!E9="","",Soğuklar!E9)</f>
        <v>240</v>
      </c>
      <c r="J51" s="45"/>
      <c r="K51" s="45"/>
      <c r="L51" s="45"/>
      <c r="M51" s="48" t="n">
        <f aca="false">IF(COUNT(G51:I51)=0,"",MIN(G51:I51))</f>
        <v>220</v>
      </c>
    </row>
    <row r="52" customFormat="false" ht="15" hidden="false" customHeight="false" outlineLevel="0" collapsed="false">
      <c r="B52" s="44" t="s">
        <v>9</v>
      </c>
      <c r="C52" s="45" t="s">
        <v>135</v>
      </c>
      <c r="D52" s="46" t="s">
        <v>140</v>
      </c>
      <c r="E52" s="45"/>
      <c r="F52" s="45" t="s">
        <v>141</v>
      </c>
      <c r="G52" s="47"/>
      <c r="H52" s="47" t="n">
        <f aca="false">IF(Soğuklar!D10="","",Soğuklar!D10)</f>
        <v>240</v>
      </c>
      <c r="I52" s="47" t="n">
        <f aca="false">IF(Soğuklar!E10="","",Soğuklar!E10)</f>
        <v>260</v>
      </c>
      <c r="J52" s="45"/>
      <c r="K52" s="45"/>
      <c r="L52" s="45"/>
      <c r="M52" s="48" t="n">
        <f aca="false">IF(COUNT(G52:I52)=0,"",MIN(G52:I52))</f>
        <v>240</v>
      </c>
    </row>
    <row r="53" customFormat="false" ht="15" hidden="false" customHeight="false" outlineLevel="0" collapsed="false">
      <c r="B53" s="44" t="s">
        <v>9</v>
      </c>
      <c r="C53" s="45" t="s">
        <v>135</v>
      </c>
      <c r="D53" s="46" t="s">
        <v>142</v>
      </c>
      <c r="E53" s="45"/>
      <c r="F53" s="45" t="s">
        <v>143</v>
      </c>
      <c r="G53" s="47"/>
      <c r="H53" s="47" t="n">
        <f aca="false">IF(Soğuklar!D11="","",Soğuklar!D11)</f>
        <v>230</v>
      </c>
      <c r="I53" s="47" t="n">
        <f aca="false">IF(Soğuklar!E11="","",Soğuklar!E11)</f>
        <v>250</v>
      </c>
      <c r="J53" s="45"/>
      <c r="K53" s="45"/>
      <c r="L53" s="45"/>
      <c r="M53" s="48" t="n">
        <f aca="false">IF(COUNT(G53:I53)=0,"",MIN(G53:I53))</f>
        <v>230</v>
      </c>
    </row>
    <row r="54" customFormat="false" ht="15" hidden="false" customHeight="false" outlineLevel="0" collapsed="false">
      <c r="B54" s="44" t="s">
        <v>9</v>
      </c>
      <c r="C54" s="45" t="s">
        <v>135</v>
      </c>
      <c r="D54" s="46" t="s">
        <v>144</v>
      </c>
      <c r="E54" s="45"/>
      <c r="F54" s="45" t="s">
        <v>145</v>
      </c>
      <c r="G54" s="47"/>
      <c r="H54" s="47" t="n">
        <f aca="false">IF(Soğuklar!D12="","",Soğuklar!D12)</f>
        <v>250</v>
      </c>
      <c r="I54" s="47" t="n">
        <f aca="false">IF(Soğuklar!E12="","",Soğuklar!E12)</f>
        <v>280</v>
      </c>
      <c r="J54" s="45" t="s">
        <v>285</v>
      </c>
      <c r="K54" s="45"/>
      <c r="L54" s="45"/>
      <c r="M54" s="48" t="n">
        <f aca="false">IF(COUNT(G54:I54)=0,"",MIN(G54:I54))</f>
        <v>250</v>
      </c>
    </row>
    <row r="55" customFormat="false" ht="15" hidden="false" customHeight="false" outlineLevel="0" collapsed="false">
      <c r="B55" s="44" t="s">
        <v>9</v>
      </c>
      <c r="C55" s="45" t="s">
        <v>135</v>
      </c>
      <c r="D55" s="46" t="s">
        <v>146</v>
      </c>
      <c r="E55" s="45"/>
      <c r="F55" s="45" t="s">
        <v>147</v>
      </c>
      <c r="G55" s="47"/>
      <c r="H55" s="47" t="n">
        <f aca="false">IF(Soğuklar!D13="","",Soğuklar!D13)</f>
        <v>150</v>
      </c>
      <c r="I55" s="47" t="n">
        <f aca="false">IF(Soğuklar!E13="","",Soğuklar!E13)</f>
        <v>170</v>
      </c>
      <c r="J55" s="45"/>
      <c r="K55" s="45"/>
      <c r="L55" s="45"/>
      <c r="M55" s="48" t="n">
        <f aca="false">IF(COUNT(G55:I55)=0,"",MIN(G55:I55))</f>
        <v>150</v>
      </c>
    </row>
    <row r="56" customFormat="false" ht="15" hidden="false" customHeight="false" outlineLevel="0" collapsed="false">
      <c r="B56" s="44" t="s">
        <v>9</v>
      </c>
      <c r="C56" s="45" t="s">
        <v>135</v>
      </c>
      <c r="D56" s="46" t="s">
        <v>148</v>
      </c>
      <c r="E56" s="45"/>
      <c r="F56" s="45" t="s">
        <v>149</v>
      </c>
      <c r="G56" s="47"/>
      <c r="H56" s="47" t="n">
        <f aca="false">IF(Soğuklar!D14="","",Soğuklar!D14)</f>
        <v>250</v>
      </c>
      <c r="I56" s="47" t="n">
        <f aca="false">IF(Soğuklar!E14="","",Soğuklar!E14)</f>
        <v>270</v>
      </c>
      <c r="J56" s="45"/>
      <c r="K56" s="45"/>
      <c r="L56" s="45"/>
      <c r="M56" s="48" t="n">
        <f aca="false">IF(COUNT(G56:I56)=0,"",MIN(G56:I56))</f>
        <v>250</v>
      </c>
    </row>
    <row r="57" customFormat="false" ht="15" hidden="false" customHeight="false" outlineLevel="0" collapsed="false">
      <c r="B57" s="44" t="s">
        <v>9</v>
      </c>
      <c r="C57" s="45" t="s">
        <v>150</v>
      </c>
      <c r="D57" s="46" t="s">
        <v>151</v>
      </c>
      <c r="E57" s="45"/>
      <c r="F57" s="45" t="s">
        <v>152</v>
      </c>
      <c r="G57" s="47"/>
      <c r="H57" s="47" t="n">
        <f aca="false">IF(Soğuklar!D17="","",Soğuklar!D17)</f>
        <v>150</v>
      </c>
      <c r="I57" s="47" t="n">
        <f aca="false">IF(Soğuklar!E17="","",Soğuklar!E17)</f>
        <v>170</v>
      </c>
      <c r="J57" s="45"/>
      <c r="K57" s="45"/>
      <c r="L57" s="45"/>
      <c r="M57" s="48" t="n">
        <f aca="false">IF(COUNT(G57:I57)=0,"",MIN(G57:I57))</f>
        <v>150</v>
      </c>
    </row>
    <row r="58" customFormat="false" ht="15" hidden="false" customHeight="false" outlineLevel="0" collapsed="false">
      <c r="B58" s="44" t="s">
        <v>9</v>
      </c>
      <c r="C58" s="45" t="s">
        <v>150</v>
      </c>
      <c r="D58" s="46" t="s">
        <v>153</v>
      </c>
      <c r="E58" s="45"/>
      <c r="F58" s="45" t="s">
        <v>154</v>
      </c>
      <c r="G58" s="47"/>
      <c r="H58" s="47" t="n">
        <f aca="false">IF(Soğuklar!D18="","",Soğuklar!D18)</f>
        <v>170</v>
      </c>
      <c r="I58" s="47" t="n">
        <f aca="false">IF(Soğuklar!E18="","",Soğuklar!E18)</f>
        <v>190</v>
      </c>
      <c r="J58" s="45"/>
      <c r="K58" s="45"/>
      <c r="L58" s="45"/>
      <c r="M58" s="48" t="n">
        <f aca="false">IF(COUNT(G58:I58)=0,"",MIN(G58:I58))</f>
        <v>170</v>
      </c>
    </row>
    <row r="59" customFormat="false" ht="15" hidden="false" customHeight="false" outlineLevel="0" collapsed="false">
      <c r="B59" s="44" t="s">
        <v>9</v>
      </c>
      <c r="C59" s="45" t="s">
        <v>155</v>
      </c>
      <c r="D59" s="46" t="s">
        <v>156</v>
      </c>
      <c r="E59" s="45"/>
      <c r="F59" s="45" t="s">
        <v>157</v>
      </c>
      <c r="G59" s="47"/>
      <c r="H59" s="47" t="n">
        <f aca="false">IF(Soğuklar!D21="","",Soğuklar!D21)</f>
        <v>170</v>
      </c>
      <c r="I59" s="47" t="n">
        <f aca="false">IF(Soğuklar!E21="","",Soğuklar!E21)</f>
        <v>190</v>
      </c>
      <c r="J59" s="45" t="s">
        <v>285</v>
      </c>
      <c r="K59" s="45"/>
      <c r="L59" s="45"/>
      <c r="M59" s="48" t="n">
        <f aca="false">IF(COUNT(G59:I59)=0,"",MIN(G59:I59))</f>
        <v>170</v>
      </c>
    </row>
    <row r="60" customFormat="false" ht="15" hidden="false" customHeight="false" outlineLevel="0" collapsed="false">
      <c r="B60" s="44" t="s">
        <v>9</v>
      </c>
      <c r="C60" s="45" t="s">
        <v>158</v>
      </c>
      <c r="D60" s="46" t="s">
        <v>159</v>
      </c>
      <c r="E60" s="45"/>
      <c r="F60" s="45" t="s">
        <v>63</v>
      </c>
      <c r="G60" s="47"/>
      <c r="H60" s="47" t="n">
        <f aca="false">IF(Soğuklar!D24="","",Soğuklar!D24)</f>
        <v>250</v>
      </c>
      <c r="I60" s="47" t="n">
        <f aca="false">IF(Soğuklar!E24="","",Soğuklar!E24)</f>
        <v>270</v>
      </c>
      <c r="J60" s="45"/>
      <c r="K60" s="45"/>
      <c r="L60" s="45"/>
      <c r="M60" s="48" t="n">
        <f aca="false">IF(COUNT(G60:I60)=0,"",MIN(G60:I60))</f>
        <v>250</v>
      </c>
    </row>
    <row r="61" customFormat="false" ht="15" hidden="false" customHeight="false" outlineLevel="0" collapsed="false">
      <c r="B61" s="44" t="s">
        <v>9</v>
      </c>
      <c r="C61" s="45" t="s">
        <v>158</v>
      </c>
      <c r="D61" s="46" t="s">
        <v>160</v>
      </c>
      <c r="E61" s="45"/>
      <c r="F61" s="45" t="s">
        <v>161</v>
      </c>
      <c r="G61" s="47"/>
      <c r="H61" s="47" t="n">
        <f aca="false">IF(Soğuklar!D25="","",Soğuklar!D25)</f>
        <v>250</v>
      </c>
      <c r="I61" s="47" t="n">
        <f aca="false">IF(Soğuklar!E25="","",Soğuklar!E25)</f>
        <v>270</v>
      </c>
      <c r="J61" s="45"/>
      <c r="K61" s="45"/>
      <c r="L61" s="45"/>
      <c r="M61" s="48" t="n">
        <f aca="false">IF(COUNT(G61:I61)=0,"",MIN(G61:I61))</f>
        <v>250</v>
      </c>
    </row>
    <row r="62" customFormat="false" ht="15" hidden="false" customHeight="false" outlineLevel="0" collapsed="false">
      <c r="B62" s="44" t="s">
        <v>9</v>
      </c>
      <c r="C62" s="45" t="s">
        <v>158</v>
      </c>
      <c r="D62" s="46" t="s">
        <v>162</v>
      </c>
      <c r="E62" s="45"/>
      <c r="F62" s="45" t="s">
        <v>163</v>
      </c>
      <c r="G62" s="47"/>
      <c r="H62" s="47" t="n">
        <f aca="false">IF(Soğuklar!D26="","",Soğuklar!D26)</f>
        <v>250</v>
      </c>
      <c r="I62" s="47" t="n">
        <f aca="false">IF(Soğuklar!E26="","",Soğuklar!E26)</f>
        <v>270</v>
      </c>
      <c r="J62" s="45"/>
      <c r="K62" s="45"/>
      <c r="L62" s="45"/>
      <c r="M62" s="48" t="n">
        <f aca="false">IF(COUNT(G62:I62)=0,"",MIN(G62:I62))</f>
        <v>250</v>
      </c>
    </row>
    <row r="63" customFormat="false" ht="15" hidden="false" customHeight="false" outlineLevel="0" collapsed="false">
      <c r="B63" s="44" t="s">
        <v>9</v>
      </c>
      <c r="C63" s="45" t="s">
        <v>158</v>
      </c>
      <c r="D63" s="46" t="s">
        <v>164</v>
      </c>
      <c r="E63" s="45"/>
      <c r="F63" s="45" t="s">
        <v>165</v>
      </c>
      <c r="G63" s="47"/>
      <c r="H63" s="47" t="n">
        <f aca="false">IF(Soğuklar!D27="","",Soğuklar!D27)</f>
        <v>240</v>
      </c>
      <c r="I63" s="47" t="n">
        <f aca="false">IF(Soğuklar!E27="","",Soğuklar!E27)</f>
        <v>260</v>
      </c>
      <c r="J63" s="45"/>
      <c r="K63" s="45"/>
      <c r="L63" s="45"/>
      <c r="M63" s="48" t="n">
        <f aca="false">IF(COUNT(G63:I63)=0,"",MIN(G63:I63))</f>
        <v>240</v>
      </c>
    </row>
    <row r="64" customFormat="false" ht="15" hidden="false" customHeight="false" outlineLevel="0" collapsed="false">
      <c r="B64" s="44" t="s">
        <v>9</v>
      </c>
      <c r="C64" s="45" t="s">
        <v>158</v>
      </c>
      <c r="D64" s="46" t="s">
        <v>166</v>
      </c>
      <c r="E64" s="45"/>
      <c r="F64" s="45" t="s">
        <v>167</v>
      </c>
      <c r="G64" s="47"/>
      <c r="H64" s="47" t="n">
        <f aca="false">IF(Soğuklar!D28="","",Soğuklar!D28)</f>
        <v>260</v>
      </c>
      <c r="I64" s="47" t="n">
        <f aca="false">IF(Soğuklar!E28="","",Soğuklar!E28)</f>
        <v>280</v>
      </c>
      <c r="J64" s="45" t="s">
        <v>285</v>
      </c>
      <c r="K64" s="45"/>
      <c r="L64" s="45"/>
      <c r="M64" s="48" t="n">
        <f aca="false">IF(COUNT(G64:I64)=0,"",MIN(G64:I64))</f>
        <v>260</v>
      </c>
    </row>
    <row r="65" customFormat="false" ht="15" hidden="false" customHeight="false" outlineLevel="0" collapsed="false">
      <c r="B65" s="44" t="s">
        <v>9</v>
      </c>
      <c r="C65" s="45" t="s">
        <v>158</v>
      </c>
      <c r="D65" s="46" t="s">
        <v>168</v>
      </c>
      <c r="E65" s="45"/>
      <c r="F65" s="45" t="s">
        <v>169</v>
      </c>
      <c r="G65" s="47"/>
      <c r="H65" s="47" t="n">
        <f aca="false">IF(Soğuklar!D29="","",Soğuklar!D29)</f>
        <v>300</v>
      </c>
      <c r="I65" s="47" t="n">
        <f aca="false">IF(Soğuklar!E29="","",Soğuklar!E29)</f>
        <v>340</v>
      </c>
      <c r="J65" s="45"/>
      <c r="K65" s="45"/>
      <c r="L65" s="45"/>
      <c r="M65" s="48" t="n">
        <f aca="false">IF(COUNT(G65:I65)=0,"",MIN(G65:I65))</f>
        <v>300</v>
      </c>
    </row>
    <row r="66" customFormat="false" ht="15" hidden="false" customHeight="false" outlineLevel="0" collapsed="false">
      <c r="B66" s="44" t="s">
        <v>9</v>
      </c>
      <c r="C66" s="45" t="s">
        <v>170</v>
      </c>
      <c r="D66" s="46" t="s">
        <v>171</v>
      </c>
      <c r="E66" s="45"/>
      <c r="F66" s="45" t="s">
        <v>172</v>
      </c>
      <c r="G66" s="47"/>
      <c r="H66" s="47" t="n">
        <f aca="false">IF(Soğuklar!D32="","",Soğuklar!D32)</f>
        <v>280</v>
      </c>
      <c r="I66" s="47" t="n">
        <f aca="false">IF(Soğuklar!E32="","",Soğuklar!E32)</f>
        <v>300</v>
      </c>
      <c r="J66" s="45" t="s">
        <v>285</v>
      </c>
      <c r="K66" s="45"/>
      <c r="L66" s="45"/>
      <c r="M66" s="48" t="n">
        <f aca="false">IF(COUNT(G66:I66)=0,"",MIN(G66:I66))</f>
        <v>280</v>
      </c>
    </row>
    <row r="67" customFormat="false" ht="15" hidden="false" customHeight="false" outlineLevel="0" collapsed="false">
      <c r="B67" s="44" t="s">
        <v>9</v>
      </c>
      <c r="C67" s="45" t="s">
        <v>170</v>
      </c>
      <c r="D67" s="46" t="s">
        <v>173</v>
      </c>
      <c r="E67" s="45"/>
      <c r="F67" s="45" t="s">
        <v>174</v>
      </c>
      <c r="G67" s="47"/>
      <c r="H67" s="47" t="n">
        <f aca="false">IF(Soğuklar!D33="","",Soğuklar!D33)</f>
        <v>270</v>
      </c>
      <c r="I67" s="47" t="n">
        <f aca="false">IF(Soğuklar!E33="","",Soğuklar!E33)</f>
        <v>290</v>
      </c>
      <c r="J67" s="45"/>
      <c r="K67" s="45"/>
      <c r="L67" s="45"/>
      <c r="M67" s="48" t="n">
        <f aca="false">IF(COUNT(G67:I67)=0,"",MIN(G67:I67))</f>
        <v>270</v>
      </c>
    </row>
    <row r="68" customFormat="false" ht="15" hidden="false" customHeight="false" outlineLevel="0" collapsed="false">
      <c r="B68" s="44" t="s">
        <v>9</v>
      </c>
      <c r="C68" s="45" t="s">
        <v>170</v>
      </c>
      <c r="D68" s="46" t="s">
        <v>175</v>
      </c>
      <c r="E68" s="45"/>
      <c r="F68" s="45" t="s">
        <v>176</v>
      </c>
      <c r="G68" s="47"/>
      <c r="H68" s="47" t="n">
        <f aca="false">IF(Soğuklar!D34="","",Soğuklar!D34)</f>
        <v>270</v>
      </c>
      <c r="I68" s="47" t="n">
        <f aca="false">IF(Soğuklar!E34="","",Soğuklar!E34)</f>
        <v>290</v>
      </c>
      <c r="J68" s="45"/>
      <c r="K68" s="45"/>
      <c r="L68" s="45"/>
      <c r="M68" s="48" t="n">
        <f aca="false">IF(COUNT(G68:I68)=0,"",MIN(G68:I68))</f>
        <v>270</v>
      </c>
    </row>
    <row r="69" customFormat="false" ht="15" hidden="false" customHeight="false" outlineLevel="0" collapsed="false">
      <c r="B69" s="44" t="s">
        <v>9</v>
      </c>
      <c r="C69" s="45" t="s">
        <v>170</v>
      </c>
      <c r="D69" s="46" t="s">
        <v>177</v>
      </c>
      <c r="E69" s="45"/>
      <c r="F69" s="45" t="s">
        <v>178</v>
      </c>
      <c r="G69" s="47"/>
      <c r="H69" s="47" t="n">
        <f aca="false">IF(Soğuklar!D35="","",Soğuklar!D35)</f>
        <v>300</v>
      </c>
      <c r="I69" s="47" t="n">
        <f aca="false">IF(Soğuklar!E35="","",Soğuklar!E35)</f>
        <v>320</v>
      </c>
      <c r="J69" s="45"/>
      <c r="K69" s="45"/>
      <c r="L69" s="45"/>
      <c r="M69" s="48" t="n">
        <f aca="false">IF(COUNT(G69:I69)=0,"",MIN(G69:I69))</f>
        <v>300</v>
      </c>
    </row>
    <row r="70" customFormat="false" ht="15" hidden="false" customHeight="false" outlineLevel="0" collapsed="false">
      <c r="B70" s="44" t="s">
        <v>9</v>
      </c>
      <c r="C70" s="45" t="s">
        <v>170</v>
      </c>
      <c r="D70" s="46" t="s">
        <v>179</v>
      </c>
      <c r="E70" s="45"/>
      <c r="F70" s="45" t="s">
        <v>180</v>
      </c>
      <c r="G70" s="47"/>
      <c r="H70" s="47" t="n">
        <f aca="false">IF(Soğuklar!D36="","",Soğuklar!D36)</f>
        <v>300</v>
      </c>
      <c r="I70" s="47" t="n">
        <f aca="false">IF(Soğuklar!E36="","",Soğuklar!E36)</f>
        <v>320</v>
      </c>
      <c r="J70" s="45"/>
      <c r="K70" s="45"/>
      <c r="L70" s="45"/>
      <c r="M70" s="48" t="n">
        <f aca="false">IF(COUNT(G70:I70)=0,"",MIN(G70:I70))</f>
        <v>300</v>
      </c>
    </row>
    <row r="71" customFormat="false" ht="15" hidden="false" customHeight="false" outlineLevel="0" collapsed="false">
      <c r="B71" s="44" t="s">
        <v>9</v>
      </c>
      <c r="C71" s="45" t="s">
        <v>181</v>
      </c>
      <c r="D71" s="46" t="s">
        <v>182</v>
      </c>
      <c r="E71" s="45"/>
      <c r="F71" s="45" t="s">
        <v>183</v>
      </c>
      <c r="G71" s="47"/>
      <c r="H71" s="47" t="n">
        <f aca="false">IF(Soğuklar!D39="","",Soğuklar!D39)</f>
        <v>260</v>
      </c>
      <c r="I71" s="47" t="n">
        <f aca="false">IF(Soğuklar!E39="","",Soğuklar!E39)</f>
        <v>280</v>
      </c>
      <c r="J71" s="45"/>
      <c r="K71" s="45"/>
      <c r="L71" s="45"/>
      <c r="M71" s="48" t="n">
        <f aca="false">IF(COUNT(G71:I71)=0,"",MIN(G71:I71))</f>
        <v>260</v>
      </c>
    </row>
    <row r="72" customFormat="false" ht="15" hidden="false" customHeight="false" outlineLevel="0" collapsed="false">
      <c r="B72" s="44" t="s">
        <v>9</v>
      </c>
      <c r="C72" s="45" t="s">
        <v>181</v>
      </c>
      <c r="D72" s="46" t="s">
        <v>184</v>
      </c>
      <c r="E72" s="45"/>
      <c r="F72" s="45" t="s">
        <v>80</v>
      </c>
      <c r="G72" s="47"/>
      <c r="H72" s="47" t="n">
        <f aca="false">IF(Soğuklar!D40="","",Soğuklar!D40)</f>
        <v>260</v>
      </c>
      <c r="I72" s="47" t="n">
        <f aca="false">IF(Soğuklar!E40="","",Soğuklar!E40)</f>
        <v>280</v>
      </c>
      <c r="J72" s="45"/>
      <c r="K72" s="45"/>
      <c r="L72" s="45"/>
      <c r="M72" s="48" t="n">
        <f aca="false">IF(COUNT(G72:I72)=0,"",MIN(G72:I72))</f>
        <v>260</v>
      </c>
    </row>
    <row r="73" customFormat="false" ht="15" hidden="false" customHeight="false" outlineLevel="0" collapsed="false">
      <c r="B73" s="44" t="s">
        <v>9</v>
      </c>
      <c r="C73" s="45" t="s">
        <v>181</v>
      </c>
      <c r="D73" s="46" t="s">
        <v>185</v>
      </c>
      <c r="E73" s="45"/>
      <c r="F73" s="45" t="s">
        <v>186</v>
      </c>
      <c r="G73" s="47"/>
      <c r="H73" s="47" t="n">
        <f aca="false">IF(Soğuklar!D41="","",Soğuklar!D41)</f>
        <v>240</v>
      </c>
      <c r="I73" s="47" t="n">
        <f aca="false">IF(Soğuklar!E41="","",Soğuklar!E41)</f>
        <v>260</v>
      </c>
      <c r="J73" s="45"/>
      <c r="K73" s="45"/>
      <c r="L73" s="45"/>
      <c r="M73" s="48" t="n">
        <f aca="false">IF(COUNT(G73:I73)=0,"",MIN(G73:I73))</f>
        <v>240</v>
      </c>
    </row>
    <row r="74" customFormat="false" ht="15" hidden="false" customHeight="false" outlineLevel="0" collapsed="false">
      <c r="B74" s="44" t="s">
        <v>9</v>
      </c>
      <c r="C74" s="45" t="s">
        <v>181</v>
      </c>
      <c r="D74" s="46" t="s">
        <v>187</v>
      </c>
      <c r="E74" s="45"/>
      <c r="F74" s="45" t="s">
        <v>188</v>
      </c>
      <c r="G74" s="47"/>
      <c r="H74" s="47" t="n">
        <f aca="false">IF(Soğuklar!D42="","",Soğuklar!D42)</f>
        <v>270</v>
      </c>
      <c r="I74" s="47" t="n">
        <f aca="false">IF(Soğuklar!E42="","",Soğuklar!E42)</f>
        <v>290</v>
      </c>
      <c r="J74" s="45" t="s">
        <v>285</v>
      </c>
      <c r="K74" s="45"/>
      <c r="L74" s="45"/>
      <c r="M74" s="48" t="n">
        <f aca="false">IF(COUNT(G74:I74)=0,"",MIN(G74:I74))</f>
        <v>270</v>
      </c>
    </row>
    <row r="75" customFormat="false" ht="15" hidden="false" customHeight="false" outlineLevel="0" collapsed="false">
      <c r="B75" s="44" t="s">
        <v>9</v>
      </c>
      <c r="C75" s="45" t="s">
        <v>189</v>
      </c>
      <c r="D75" s="46" t="s">
        <v>190</v>
      </c>
      <c r="E75" s="45"/>
      <c r="F75" s="45" t="s">
        <v>191</v>
      </c>
      <c r="G75" s="47"/>
      <c r="H75" s="47" t="n">
        <f aca="false">IF(Soğuklar!D45="","",Soğuklar!D45)</f>
        <v>300</v>
      </c>
      <c r="I75" s="47" t="n">
        <f aca="false">IF(Soğuklar!E45="","",Soğuklar!E45)</f>
        <v>320</v>
      </c>
      <c r="J75" s="45" t="s">
        <v>285</v>
      </c>
      <c r="K75" s="45"/>
      <c r="L75" s="45"/>
      <c r="M75" s="48" t="n">
        <f aca="false">IF(COUNT(G75:I75)=0,"",MIN(G75:I75))</f>
        <v>300</v>
      </c>
    </row>
    <row r="76" customFormat="false" ht="15" hidden="false" customHeight="false" outlineLevel="0" collapsed="false">
      <c r="B76" s="44" t="s">
        <v>9</v>
      </c>
      <c r="C76" s="45" t="s">
        <v>189</v>
      </c>
      <c r="D76" s="46" t="s">
        <v>192</v>
      </c>
      <c r="E76" s="45"/>
      <c r="F76" s="45" t="s">
        <v>193</v>
      </c>
      <c r="G76" s="47"/>
      <c r="H76" s="47" t="n">
        <f aca="false">IF(Soğuklar!D46="","",Soğuklar!D46)</f>
        <v>330</v>
      </c>
      <c r="I76" s="47" t="n">
        <f aca="false">IF(Soğuklar!E46="","",Soğuklar!E46)</f>
        <v>350</v>
      </c>
      <c r="J76" s="45"/>
      <c r="K76" s="45"/>
      <c r="L76" s="45"/>
      <c r="M76" s="48" t="n">
        <f aca="false">IF(COUNT(G76:I76)=0,"",MIN(G76:I76))</f>
        <v>330</v>
      </c>
    </row>
    <row r="77" customFormat="false" ht="15" hidden="false" customHeight="false" outlineLevel="0" collapsed="false">
      <c r="B77" s="44" t="s">
        <v>9</v>
      </c>
      <c r="C77" s="45" t="s">
        <v>189</v>
      </c>
      <c r="D77" s="46" t="s">
        <v>194</v>
      </c>
      <c r="E77" s="45"/>
      <c r="F77" s="45" t="s">
        <v>195</v>
      </c>
      <c r="G77" s="47"/>
      <c r="H77" s="47" t="n">
        <f aca="false">IF(Soğuklar!D47="","",Soğuklar!D47)</f>
        <v>290</v>
      </c>
      <c r="I77" s="47" t="n">
        <f aca="false">IF(Soğuklar!E47="","",Soğuklar!E47)</f>
        <v>310</v>
      </c>
      <c r="J77" s="45"/>
      <c r="K77" s="45"/>
      <c r="L77" s="45"/>
      <c r="M77" s="48" t="n">
        <f aca="false">IF(COUNT(G77:I77)=0,"",MIN(G77:I77))</f>
        <v>290</v>
      </c>
    </row>
    <row r="78" customFormat="false" ht="15" hidden="false" customHeight="false" outlineLevel="0" collapsed="false">
      <c r="B78" s="44" t="s">
        <v>9</v>
      </c>
      <c r="C78" s="45" t="s">
        <v>189</v>
      </c>
      <c r="D78" s="46" t="s">
        <v>196</v>
      </c>
      <c r="E78" s="45"/>
      <c r="F78" s="45" t="s">
        <v>197</v>
      </c>
      <c r="G78" s="47"/>
      <c r="H78" s="47" t="n">
        <f aca="false">IF(Soğuklar!D48="","",Soğuklar!D48)</f>
        <v>290</v>
      </c>
      <c r="I78" s="47" t="n">
        <f aca="false">IF(Soğuklar!E48="","",Soğuklar!E48)</f>
        <v>310</v>
      </c>
      <c r="J78" s="45"/>
      <c r="K78" s="45"/>
      <c r="L78" s="45"/>
      <c r="M78" s="48" t="n">
        <f aca="false">IF(COUNT(G78:I78)=0,"",MIN(G78:I78))</f>
        <v>290</v>
      </c>
    </row>
    <row r="79" customFormat="false" ht="15" hidden="false" customHeight="false" outlineLevel="0" collapsed="false">
      <c r="B79" s="44" t="s">
        <v>9</v>
      </c>
      <c r="C79" s="45" t="s">
        <v>189</v>
      </c>
      <c r="D79" s="46" t="s">
        <v>198</v>
      </c>
      <c r="E79" s="45"/>
      <c r="F79" s="45" t="s">
        <v>199</v>
      </c>
      <c r="G79" s="47"/>
      <c r="H79" s="47" t="n">
        <f aca="false">IF(Soğuklar!D49="","",Soğuklar!D49)</f>
        <v>290</v>
      </c>
      <c r="I79" s="47" t="n">
        <f aca="false">IF(Soğuklar!E49="","",Soğuklar!E49)</f>
        <v>310</v>
      </c>
      <c r="J79" s="45"/>
      <c r="K79" s="45"/>
      <c r="L79" s="45"/>
      <c r="M79" s="48" t="n">
        <f aca="false">IF(COUNT(G79:I79)=0,"",MIN(G79:I79))</f>
        <v>290</v>
      </c>
    </row>
    <row r="80" customFormat="false" ht="15" hidden="false" customHeight="false" outlineLevel="0" collapsed="false">
      <c r="B80" s="44" t="s">
        <v>9</v>
      </c>
      <c r="C80" s="45" t="s">
        <v>114</v>
      </c>
      <c r="D80" s="46" t="s">
        <v>115</v>
      </c>
      <c r="E80" s="45"/>
      <c r="F80" s="45" t="s">
        <v>200</v>
      </c>
      <c r="G80" s="47"/>
      <c r="H80" s="47" t="n">
        <f aca="false">IF(Soğuklar!D52="","",Soğuklar!D52)</f>
        <v>300</v>
      </c>
      <c r="I80" s="47" t="n">
        <f aca="false">IF(Soğuklar!E52="","",Soğuklar!E52)</f>
        <v>320</v>
      </c>
      <c r="J80" s="45" t="s">
        <v>285</v>
      </c>
      <c r="K80" s="45" t="s">
        <v>285</v>
      </c>
      <c r="L80" s="45"/>
      <c r="M80" s="48" t="n">
        <f aca="false">IF(COUNT(G80:I80)=0,"",MIN(G80:I80))</f>
        <v>300</v>
      </c>
    </row>
    <row r="81" customFormat="false" ht="15" hidden="false" customHeight="false" outlineLevel="0" collapsed="false">
      <c r="B81" s="44" t="s">
        <v>9</v>
      </c>
      <c r="C81" s="45" t="s">
        <v>114</v>
      </c>
      <c r="D81" s="46" t="s">
        <v>201</v>
      </c>
      <c r="E81" s="45"/>
      <c r="F81" s="45" t="s">
        <v>202</v>
      </c>
      <c r="G81" s="47"/>
      <c r="H81" s="47" t="n">
        <f aca="false">IF(Soğuklar!D53="","",Soğuklar!D53)</f>
        <v>280</v>
      </c>
      <c r="I81" s="47" t="n">
        <f aca="false">IF(Soğuklar!E53="","",Soğuklar!E53)</f>
        <v>300</v>
      </c>
      <c r="J81" s="45" t="s">
        <v>285</v>
      </c>
      <c r="K81" s="45" t="s">
        <v>285</v>
      </c>
      <c r="L81" s="45" t="s">
        <v>286</v>
      </c>
      <c r="M81" s="48" t="n">
        <f aca="false">IF(COUNT(G81:I81)=0,"",MIN(G81:I81))</f>
        <v>280</v>
      </c>
    </row>
    <row r="82" customFormat="false" ht="15" hidden="false" customHeight="false" outlineLevel="0" collapsed="false">
      <c r="B82" s="44" t="s">
        <v>9</v>
      </c>
      <c r="C82" s="45" t="s">
        <v>114</v>
      </c>
      <c r="D82" s="46" t="s">
        <v>204</v>
      </c>
      <c r="E82" s="45"/>
      <c r="F82" s="45" t="s">
        <v>205</v>
      </c>
      <c r="G82" s="47"/>
      <c r="H82" s="47" t="n">
        <f aca="false">IF(Soğuklar!D54="","",Soğuklar!D54)</f>
        <v>180</v>
      </c>
      <c r="I82" s="47" t="n">
        <f aca="false">IF(Soğuklar!E54="","",Soğuklar!E54)</f>
        <v>200</v>
      </c>
      <c r="J82" s="45"/>
      <c r="K82" s="45" t="s">
        <v>285</v>
      </c>
      <c r="L82" s="45"/>
      <c r="M82" s="48" t="n">
        <f aca="false">IF(COUNT(G82:I82)=0,"",MIN(G82:I82))</f>
        <v>180</v>
      </c>
    </row>
    <row r="83" customFormat="false" ht="15" hidden="false" customHeight="false" outlineLevel="0" collapsed="false">
      <c r="B83" s="44" t="s">
        <v>9</v>
      </c>
      <c r="C83" s="45" t="s">
        <v>114</v>
      </c>
      <c r="D83" s="46" t="s">
        <v>206</v>
      </c>
      <c r="E83" s="45"/>
      <c r="F83" s="45" t="s">
        <v>207</v>
      </c>
      <c r="G83" s="47"/>
      <c r="H83" s="47" t="n">
        <f aca="false">IF(Soğuklar!D55="","",Soğuklar!D55)</f>
        <v>180</v>
      </c>
      <c r="I83" s="47" t="n">
        <f aca="false">IF(Soğuklar!E55="","",Soğuklar!E55)</f>
        <v>200</v>
      </c>
      <c r="J83" s="45"/>
      <c r="K83" s="45" t="s">
        <v>285</v>
      </c>
      <c r="L83" s="45"/>
      <c r="M83" s="48" t="n">
        <f aca="false">IF(COUNT(G83:I83)=0,"",MIN(G83:I83))</f>
        <v>180</v>
      </c>
    </row>
    <row r="84" customFormat="false" ht="15" hidden="false" customHeight="false" outlineLevel="0" collapsed="false">
      <c r="B84" s="44" t="s">
        <v>9</v>
      </c>
      <c r="C84" s="45" t="s">
        <v>208</v>
      </c>
      <c r="D84" s="46" t="s">
        <v>209</v>
      </c>
      <c r="E84" s="45"/>
      <c r="F84" s="45"/>
      <c r="G84" s="47" t="n">
        <f aca="false">IF(Soğuklar!D58="","",Soğuklar!D58)</f>
        <v>40</v>
      </c>
      <c r="H84" s="47"/>
      <c r="I84" s="47"/>
      <c r="J84" s="45"/>
      <c r="K84" s="45"/>
      <c r="L84" s="45"/>
      <c r="M84" s="48" t="n">
        <f aca="false">IF(COUNT(G84:I84)=0,"",MIN(G84:I84))</f>
        <v>40</v>
      </c>
    </row>
    <row r="85" customFormat="false" ht="15" hidden="false" customHeight="false" outlineLevel="0" collapsed="false">
      <c r="B85" s="44" t="s">
        <v>9</v>
      </c>
      <c r="C85" s="45" t="s">
        <v>208</v>
      </c>
      <c r="D85" s="46" t="s">
        <v>210</v>
      </c>
      <c r="E85" s="45"/>
      <c r="F85" s="45"/>
      <c r="G85" s="47" t="n">
        <f aca="false">IF(Soğuklar!D59="","",Soğuklar!D59)</f>
        <v>60</v>
      </c>
      <c r="H85" s="47"/>
      <c r="I85" s="47"/>
      <c r="J85" s="45"/>
      <c r="K85" s="45"/>
      <c r="L85" s="45"/>
      <c r="M85" s="48" t="n">
        <f aca="false">IF(COUNT(G85:I85)=0,"",MIN(G85:I85))</f>
        <v>60</v>
      </c>
    </row>
    <row r="86" customFormat="false" ht="15" hidden="false" customHeight="false" outlineLevel="0" collapsed="false">
      <c r="B86" s="44" t="s">
        <v>9</v>
      </c>
      <c r="C86" s="45" t="s">
        <v>208</v>
      </c>
      <c r="D86" s="46" t="s">
        <v>211</v>
      </c>
      <c r="E86" s="45"/>
      <c r="F86" s="45"/>
      <c r="G86" s="47" t="n">
        <f aca="false">IF(Soğuklar!D60="","",Soğuklar!D60)</f>
        <v>80</v>
      </c>
      <c r="H86" s="47"/>
      <c r="I86" s="47"/>
      <c r="J86" s="45"/>
      <c r="K86" s="45"/>
      <c r="L86" s="45"/>
      <c r="M86" s="48" t="n">
        <f aca="false">IF(COUNT(G86:I86)=0,"",MIN(G86:I86))</f>
        <v>80</v>
      </c>
    </row>
    <row r="87" customFormat="false" ht="15" hidden="false" customHeight="false" outlineLevel="0" collapsed="false">
      <c r="B87" s="44" t="s">
        <v>9</v>
      </c>
      <c r="C87" s="45" t="s">
        <v>208</v>
      </c>
      <c r="D87" s="46" t="s">
        <v>212</v>
      </c>
      <c r="E87" s="45"/>
      <c r="F87" s="45"/>
      <c r="G87" s="47" t="n">
        <f aca="false">IF(Soğuklar!D61="","",Soğuklar!D61)</f>
        <v>100</v>
      </c>
      <c r="H87" s="47"/>
      <c r="I87" s="47"/>
      <c r="J87" s="45"/>
      <c r="K87" s="45"/>
      <c r="L87" s="45"/>
      <c r="M87" s="48" t="n">
        <f aca="false">IF(COUNT(G87:I87)=0,"",MIN(G87:I87))</f>
        <v>100</v>
      </c>
    </row>
    <row r="88" customFormat="false" ht="15" hidden="false" customHeight="false" outlineLevel="0" collapsed="false">
      <c r="B88" s="44" t="s">
        <v>9</v>
      </c>
      <c r="C88" s="45" t="s">
        <v>208</v>
      </c>
      <c r="D88" s="46" t="s">
        <v>213</v>
      </c>
      <c r="E88" s="45"/>
      <c r="F88" s="45"/>
      <c r="G88" s="47" t="n">
        <f aca="false">IF(Soğuklar!D62="","",Soğuklar!D62)</f>
        <v>130</v>
      </c>
      <c r="H88" s="47"/>
      <c r="I88" s="47"/>
      <c r="J88" s="45"/>
      <c r="K88" s="45"/>
      <c r="L88" s="45"/>
      <c r="M88" s="48" t="n">
        <f aca="false">IF(COUNT(G88:I88)=0,"",MIN(G88:I88))</f>
        <v>130</v>
      </c>
    </row>
    <row r="89" customFormat="false" ht="15" hidden="false" customHeight="false" outlineLevel="0" collapsed="false">
      <c r="B89" s="44" t="s">
        <v>9</v>
      </c>
      <c r="C89" s="45" t="s">
        <v>208</v>
      </c>
      <c r="D89" s="46" t="s">
        <v>214</v>
      </c>
      <c r="E89" s="45"/>
      <c r="F89" s="45"/>
      <c r="G89" s="47" t="n">
        <f aca="false">IF(Soğuklar!D63="","",Soğuklar!D63)</f>
        <v>170</v>
      </c>
      <c r="H89" s="47"/>
      <c r="I89" s="47"/>
      <c r="J89" s="45"/>
      <c r="K89" s="45"/>
      <c r="L89" s="45"/>
      <c r="M89" s="48" t="n">
        <f aca="false">IF(COUNT(G89:I89)=0,"",MIN(G89:I89))</f>
        <v>170</v>
      </c>
    </row>
    <row r="90" customFormat="false" ht="15" hidden="false" customHeight="false" outlineLevel="0" collapsed="false">
      <c r="B90" s="44" t="s">
        <v>10</v>
      </c>
      <c r="C90" s="45" t="s">
        <v>223</v>
      </c>
      <c r="D90" s="46" t="s">
        <v>224</v>
      </c>
      <c r="E90" s="45" t="s">
        <v>225</v>
      </c>
      <c r="F90" s="45" t="s">
        <v>226</v>
      </c>
      <c r="G90" s="47" t="n">
        <f aca="false">IF('Tatlı &amp; Atıştırmalık'!E8="","",'Tatlı &amp; Atıştırmalık'!E8)</f>
        <v>250</v>
      </c>
      <c r="H90" s="47"/>
      <c r="I90" s="47"/>
      <c r="J90" s="45"/>
      <c r="K90" s="45"/>
      <c r="L90" s="45"/>
      <c r="M90" s="48" t="n">
        <f aca="false">IF(COUNT(G90:I90)=0,"",MIN(G90:I90))</f>
        <v>250</v>
      </c>
    </row>
    <row r="91" customFormat="false" ht="15" hidden="false" customHeight="false" outlineLevel="0" collapsed="false">
      <c r="B91" s="44" t="s">
        <v>10</v>
      </c>
      <c r="C91" s="45" t="s">
        <v>223</v>
      </c>
      <c r="D91" s="46" t="s">
        <v>227</v>
      </c>
      <c r="E91" s="45" t="s">
        <v>228</v>
      </c>
      <c r="F91" s="45" t="s">
        <v>229</v>
      </c>
      <c r="G91" s="47" t="n">
        <f aca="false">IF('Tatlı &amp; Atıştırmalık'!E9="","",'Tatlı &amp; Atıştırmalık'!E9)</f>
        <v>270</v>
      </c>
      <c r="H91" s="47"/>
      <c r="I91" s="47"/>
      <c r="J91" s="45"/>
      <c r="K91" s="45"/>
      <c r="L91" s="45"/>
      <c r="M91" s="48" t="n">
        <f aca="false">IF(COUNT(G91:I91)=0,"",MIN(G91:I91))</f>
        <v>270</v>
      </c>
    </row>
    <row r="92" customFormat="false" ht="15" hidden="false" customHeight="false" outlineLevel="0" collapsed="false">
      <c r="B92" s="44" t="s">
        <v>10</v>
      </c>
      <c r="C92" s="45" t="s">
        <v>223</v>
      </c>
      <c r="D92" s="46" t="s">
        <v>230</v>
      </c>
      <c r="E92" s="45" t="s">
        <v>231</v>
      </c>
      <c r="F92" s="45" t="s">
        <v>232</v>
      </c>
      <c r="G92" s="47" t="n">
        <f aca="false">IF('Tatlı &amp; Atıştırmalık'!E10="","",'Tatlı &amp; Atıştırmalık'!E10)</f>
        <v>270</v>
      </c>
      <c r="H92" s="47"/>
      <c r="I92" s="47"/>
      <c r="J92" s="45"/>
      <c r="K92" s="45"/>
      <c r="L92" s="45"/>
      <c r="M92" s="48" t="n">
        <f aca="false">IF(COUNT(G92:I92)=0,"",MIN(G92:I92))</f>
        <v>270</v>
      </c>
    </row>
    <row r="93" customFormat="false" ht="15" hidden="false" customHeight="false" outlineLevel="0" collapsed="false">
      <c r="B93" s="44" t="s">
        <v>10</v>
      </c>
      <c r="C93" s="45" t="s">
        <v>223</v>
      </c>
      <c r="D93" s="46" t="s">
        <v>233</v>
      </c>
      <c r="E93" s="45" t="s">
        <v>234</v>
      </c>
      <c r="F93" s="45" t="s">
        <v>235</v>
      </c>
      <c r="G93" s="47" t="n">
        <f aca="false">IF('Tatlı &amp; Atıştırmalık'!E11="","",'Tatlı &amp; Atıştırmalık'!E11)</f>
        <v>300</v>
      </c>
      <c r="H93" s="47"/>
      <c r="I93" s="47"/>
      <c r="J93" s="45"/>
      <c r="K93" s="45"/>
      <c r="L93" s="45"/>
      <c r="M93" s="48" t="n">
        <f aca="false">IF(COUNT(G93:I93)=0,"",MIN(G93:I93))</f>
        <v>300</v>
      </c>
    </row>
    <row r="94" customFormat="false" ht="15" hidden="false" customHeight="false" outlineLevel="0" collapsed="false">
      <c r="B94" s="44" t="s">
        <v>10</v>
      </c>
      <c r="C94" s="45" t="s">
        <v>223</v>
      </c>
      <c r="D94" s="46" t="s">
        <v>236</v>
      </c>
      <c r="E94" s="45" t="s">
        <v>237</v>
      </c>
      <c r="F94" s="45" t="s">
        <v>238</v>
      </c>
      <c r="G94" s="47" t="n">
        <f aca="false">IF('Tatlı &amp; Atıştırmalık'!E12="","",'Tatlı &amp; Atıştırmalık'!E12)</f>
        <v>320</v>
      </c>
      <c r="H94" s="47"/>
      <c r="I94" s="47"/>
      <c r="J94" s="45" t="s">
        <v>285</v>
      </c>
      <c r="K94" s="45"/>
      <c r="L94" s="45"/>
      <c r="M94" s="48" t="n">
        <f aca="false">IF(COUNT(G94:I94)=0,"",MIN(G94:I94))</f>
        <v>320</v>
      </c>
    </row>
    <row r="95" customFormat="false" ht="15" hidden="false" customHeight="false" outlineLevel="0" collapsed="false">
      <c r="B95" s="44" t="s">
        <v>10</v>
      </c>
      <c r="C95" s="45" t="s">
        <v>223</v>
      </c>
      <c r="D95" s="46" t="s">
        <v>239</v>
      </c>
      <c r="E95" s="45" t="s">
        <v>240</v>
      </c>
      <c r="F95" s="45" t="s">
        <v>241</v>
      </c>
      <c r="G95" s="47" t="n">
        <f aca="false">IF('Tatlı &amp; Atıştırmalık'!E13="","",'Tatlı &amp; Atıştırmalık'!E13)</f>
        <v>250</v>
      </c>
      <c r="H95" s="47"/>
      <c r="I95" s="47"/>
      <c r="J95" s="45"/>
      <c r="K95" s="45"/>
      <c r="L95" s="45"/>
      <c r="M95" s="48" t="n">
        <f aca="false">IF(COUNT(G95:I95)=0,"",MIN(G95:I95))</f>
        <v>250</v>
      </c>
    </row>
    <row r="96" customFormat="false" ht="15" hidden="false" customHeight="false" outlineLevel="0" collapsed="false">
      <c r="B96" s="44" t="s">
        <v>10</v>
      </c>
      <c r="C96" s="45" t="s">
        <v>223</v>
      </c>
      <c r="D96" s="46" t="s">
        <v>242</v>
      </c>
      <c r="E96" s="45" t="s">
        <v>243</v>
      </c>
      <c r="F96" s="45" t="s">
        <v>244</v>
      </c>
      <c r="G96" s="47" t="n">
        <f aca="false">IF('Tatlı &amp; Atıştırmalık'!E14="","",'Tatlı &amp; Atıştırmalık'!E14)</f>
        <v>240</v>
      </c>
      <c r="H96" s="47"/>
      <c r="I96" s="47"/>
      <c r="J96" s="45"/>
      <c r="K96" s="45"/>
      <c r="L96" s="45"/>
      <c r="M96" s="48" t="n">
        <f aca="false">IF(COUNT(G96:I96)=0,"",MIN(G96:I96))</f>
        <v>240</v>
      </c>
    </row>
    <row r="97" customFormat="false" ht="15" hidden="false" customHeight="false" outlineLevel="0" collapsed="false">
      <c r="B97" s="44" t="s">
        <v>10</v>
      </c>
      <c r="C97" s="45" t="s">
        <v>223</v>
      </c>
      <c r="D97" s="46" t="s">
        <v>245</v>
      </c>
      <c r="E97" s="45" t="s">
        <v>246</v>
      </c>
      <c r="F97" s="45" t="s">
        <v>247</v>
      </c>
      <c r="G97" s="47" t="n">
        <f aca="false">IF('Tatlı &amp; Atıştırmalık'!E15="","",'Tatlı &amp; Atıştırmalık'!E15)</f>
        <v>200</v>
      </c>
      <c r="H97" s="47"/>
      <c r="I97" s="47"/>
      <c r="J97" s="45" t="s">
        <v>285</v>
      </c>
      <c r="K97" s="45"/>
      <c r="L97" s="45"/>
      <c r="M97" s="48" t="n">
        <f aca="false">IF(COUNT(G97:I97)=0,"",MIN(G97:I97))</f>
        <v>200</v>
      </c>
    </row>
    <row r="98" customFormat="false" ht="15" hidden="false" customHeight="false" outlineLevel="0" collapsed="false">
      <c r="B98" s="44" t="s">
        <v>10</v>
      </c>
      <c r="C98" s="45" t="s">
        <v>248</v>
      </c>
      <c r="D98" s="46" t="s">
        <v>249</v>
      </c>
      <c r="E98" s="45" t="s">
        <v>250</v>
      </c>
      <c r="F98" s="45" t="s">
        <v>251</v>
      </c>
      <c r="G98" s="47" t="n">
        <f aca="false">IF('Tatlı &amp; Atıştırmalık'!E18="","",'Tatlı &amp; Atıştırmalık'!E18)</f>
        <v>300</v>
      </c>
      <c r="H98" s="47"/>
      <c r="I98" s="47"/>
      <c r="J98" s="45" t="s">
        <v>285</v>
      </c>
      <c r="K98" s="45"/>
      <c r="L98" s="45"/>
      <c r="M98" s="48" t="n">
        <f aca="false">IF(COUNT(G98:I98)=0,"",MIN(G98:I98))</f>
        <v>300</v>
      </c>
    </row>
    <row r="99" customFormat="false" ht="15" hidden="false" customHeight="false" outlineLevel="0" collapsed="false">
      <c r="B99" s="44" t="s">
        <v>10</v>
      </c>
      <c r="C99" s="45" t="s">
        <v>248</v>
      </c>
      <c r="D99" s="46" t="s">
        <v>252</v>
      </c>
      <c r="E99" s="45" t="s">
        <v>253</v>
      </c>
      <c r="F99" s="45" t="s">
        <v>254</v>
      </c>
      <c r="G99" s="47" t="n">
        <f aca="false">IF('Tatlı &amp; Atıştırmalık'!E19="","",'Tatlı &amp; Atıştırmalık'!E19)</f>
        <v>300</v>
      </c>
      <c r="H99" s="47"/>
      <c r="I99" s="47"/>
      <c r="J99" s="45"/>
      <c r="K99" s="45"/>
      <c r="L99" s="45"/>
      <c r="M99" s="48" t="n">
        <f aca="false">IF(COUNT(G99:I99)=0,"",MIN(G99:I99))</f>
        <v>300</v>
      </c>
    </row>
    <row r="100" customFormat="false" ht="15" hidden="false" customHeight="false" outlineLevel="0" collapsed="false">
      <c r="B100" s="44" t="s">
        <v>10</v>
      </c>
      <c r="C100" s="45" t="s">
        <v>248</v>
      </c>
      <c r="D100" s="46" t="s">
        <v>255</v>
      </c>
      <c r="E100" s="45" t="s">
        <v>256</v>
      </c>
      <c r="F100" s="45" t="s">
        <v>257</v>
      </c>
      <c r="G100" s="47" t="n">
        <f aca="false">IF('Tatlı &amp; Atıştırmalık'!E20="","",'Tatlı &amp; Atıştırmalık'!E20)</f>
        <v>200</v>
      </c>
      <c r="H100" s="47"/>
      <c r="I100" s="47"/>
      <c r="J100" s="45"/>
      <c r="K100" s="45"/>
      <c r="L100" s="45"/>
      <c r="M100" s="48" t="n">
        <f aca="false">IF(COUNT(G100:I100)=0,"",MIN(G100:I100))</f>
        <v>200</v>
      </c>
    </row>
    <row r="101" customFormat="false" ht="15" hidden="false" customHeight="false" outlineLevel="0" collapsed="false">
      <c r="B101" s="44" t="s">
        <v>10</v>
      </c>
      <c r="C101" s="45" t="s">
        <v>248</v>
      </c>
      <c r="D101" s="46" t="s">
        <v>258</v>
      </c>
      <c r="E101" s="45" t="s">
        <v>259</v>
      </c>
      <c r="F101" s="45" t="s">
        <v>260</v>
      </c>
      <c r="G101" s="47" t="n">
        <f aca="false">IF('Tatlı &amp; Atıştırmalık'!E21="","",'Tatlı &amp; Atıştırmalık'!E21)</f>
        <v>170</v>
      </c>
      <c r="H101" s="47"/>
      <c r="I101" s="47"/>
      <c r="J101" s="45"/>
      <c r="K101" s="45"/>
      <c r="L101" s="45"/>
      <c r="M101" s="48" t="n">
        <f aca="false">IF(COUNT(G101:I101)=0,"",MIN(G101:I101))</f>
        <v>170</v>
      </c>
    </row>
    <row r="102" customFormat="false" ht="15" hidden="false" customHeight="false" outlineLevel="0" collapsed="false">
      <c r="B102" s="44" t="s">
        <v>10</v>
      </c>
      <c r="C102" s="45" t="s">
        <v>261</v>
      </c>
      <c r="D102" s="46" t="s">
        <v>262</v>
      </c>
      <c r="E102" s="45"/>
      <c r="F102" s="45" t="s">
        <v>263</v>
      </c>
      <c r="G102" s="47" t="n">
        <f aca="false">IF('Tatlı &amp; Atıştırmalık'!E24="","",'Tatlı &amp; Atıştırmalık'!E24)</f>
        <v>200</v>
      </c>
      <c r="H102" s="47"/>
      <c r="I102" s="47"/>
      <c r="J102" s="45"/>
      <c r="K102" s="45"/>
      <c r="L102" s="45"/>
      <c r="M102" s="48" t="n">
        <f aca="false">IF(COUNT(G102:I102)=0,"",MIN(G102:I102))</f>
        <v>200</v>
      </c>
    </row>
    <row r="103" customFormat="false" ht="15" hidden="false" customHeight="false" outlineLevel="0" collapsed="false">
      <c r="B103" s="44" t="s">
        <v>10</v>
      </c>
      <c r="C103" s="45" t="s">
        <v>261</v>
      </c>
      <c r="D103" s="46" t="s">
        <v>264</v>
      </c>
      <c r="E103" s="45"/>
      <c r="F103" s="45" t="s">
        <v>265</v>
      </c>
      <c r="G103" s="47" t="n">
        <f aca="false">IF('Tatlı &amp; Atıştırmalık'!E25="","",'Tatlı &amp; Atıştırmalık'!E25)</f>
        <v>250</v>
      </c>
      <c r="H103" s="47"/>
      <c r="I103" s="47"/>
      <c r="J103" s="45"/>
      <c r="K103" s="45"/>
      <c r="L103" s="45"/>
      <c r="M103" s="48" t="n">
        <f aca="false">IF(COUNT(G103:I103)=0,"",MIN(G103:I103))</f>
        <v>250</v>
      </c>
    </row>
    <row r="104" customFormat="false" ht="15" hidden="false" customHeight="false" outlineLevel="0" collapsed="false">
      <c r="B104" s="44" t="s">
        <v>10</v>
      </c>
      <c r="C104" s="45" t="s">
        <v>266</v>
      </c>
      <c r="D104" s="46" t="s">
        <v>267</v>
      </c>
      <c r="E104" s="45" t="s">
        <v>268</v>
      </c>
      <c r="F104" s="45" t="s">
        <v>269</v>
      </c>
      <c r="G104" s="47" t="str">
        <f aca="false">IF('Tatlı &amp; Atıştırmalık'!E28="","",'Tatlı &amp; Atıştırmalık'!E28)</f>
        <v/>
      </c>
      <c r="H104" s="47"/>
      <c r="I104" s="47"/>
      <c r="J104" s="45"/>
      <c r="K104" s="45"/>
      <c r="L104" s="45" t="s">
        <v>270</v>
      </c>
      <c r="M104" s="48" t="str">
        <f aca="false">IF(COUNT(G104:I104)=0,"",MIN(G104:I104))</f>
        <v/>
      </c>
    </row>
    <row r="105" customFormat="false" ht="15" hidden="false" customHeight="false" outlineLevel="0" collapsed="false">
      <c r="B105" s="44" t="s">
        <v>10</v>
      </c>
      <c r="C105" s="45" t="s">
        <v>266</v>
      </c>
      <c r="D105" s="46" t="s">
        <v>271</v>
      </c>
      <c r="E105" s="45" t="s">
        <v>272</v>
      </c>
      <c r="F105" s="45" t="s">
        <v>273</v>
      </c>
      <c r="G105" s="47" t="str">
        <f aca="false">IF('Tatlı &amp; Atıştırmalık'!E29="","",'Tatlı &amp; Atıştırmalık'!E29)</f>
        <v/>
      </c>
      <c r="H105" s="47"/>
      <c r="I105" s="47"/>
      <c r="J105" s="45"/>
      <c r="K105" s="45"/>
      <c r="L105" s="45" t="s">
        <v>270</v>
      </c>
      <c r="M105" s="48" t="str">
        <f aca="false">IF(COUNT(G105:I105)=0,"",MIN(G105:I105))</f>
        <v/>
      </c>
    </row>
  </sheetData>
  <autoFilter ref="B5:M105"/>
  <mergeCells count="2">
    <mergeCell ref="C1:M2"/>
    <mergeCell ref="B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/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2026-10-23T00:33:28Z</dcterms:created>
  <dc:creator>Alican Yıldırım</dc:creator>
  <dc:description/>
  <dc:language>tr-TR</dc:language>
  <cp:lastModifiedBy>Alican Yıldırım</cp:lastModifiedBy>
  <dcterms:modified xsi:type="dcterms:W3CDTF">2026-10-23T00:33:28Z</dcterms:modified>
  <cp:revision>0</cp:revision>
  <dc:subject>Ciao Caffè menu price list</dc:subject>
  <dc:title>Ciao Caffè · Menü Fiyat Listesi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